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SOHAIL KHAN\sadaf mysql\"/>
    </mc:Choice>
  </mc:AlternateContent>
  <xr:revisionPtr revIDLastSave="0" documentId="13_ncr:1_{093DCD01-6700-4565-8585-6746C74970AF}" xr6:coauthVersionLast="47" xr6:coauthVersionMax="47" xr10:uidLastSave="{00000000-0000-0000-0000-000000000000}"/>
  <bookViews>
    <workbookView xWindow="-108" yWindow="-108" windowWidth="23256" windowHeight="12576" activeTab="1" xr2:uid="{00000000-000D-0000-FFFF-FFFF00000000}"/>
  </bookViews>
  <sheets>
    <sheet name=" Healthcare dataSHEET" sheetId="1" r:id="rId1"/>
    <sheet name="objectives" sheetId="19" r:id="rId2"/>
    <sheet name="HEATHCARE DATA 2026" sheetId="3" r:id="rId3"/>
    <sheet name="INSIGHT OF DATA" sheetId="16" r:id="rId4"/>
    <sheet name="MALE VS FEMALE" sheetId="4" r:id="rId5"/>
    <sheet name="AVG STAYS" sheetId="5" r:id="rId6"/>
    <sheet name="Avg stay VS revenue" sheetId="7" r:id="rId7"/>
    <sheet name="revenue vs patient" sheetId="9" r:id="rId8"/>
    <sheet name="disease vs cost " sheetId="10" r:id="rId9"/>
    <sheet name="high risk patient" sheetId="11" r:id="rId10"/>
    <sheet name="city vs revenue " sheetId="12" r:id="rId11"/>
    <sheet name="INSURANCE IMPACT ANALYSIS" sheetId="14" r:id="rId12"/>
    <sheet name="depart Vs pt" sheetId="2" r:id="rId13"/>
  </sheets>
  <definedNames>
    <definedName name="Slicer_Age_Group">#N/A</definedName>
    <definedName name="Slicer_City">#N/A</definedName>
    <definedName name="Slicer_Department">#N/A</definedName>
    <definedName name="Slicer_Disease">#N/A</definedName>
    <definedName name="Slicer_Payment_Mode">#N/A</definedName>
    <definedName name="Slicer_Stay_Days">#N/A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alcChain>
</file>

<file path=xl/sharedStrings.xml><?xml version="1.0" encoding="utf-8"?>
<sst xmlns="http://schemas.openxmlformats.org/spreadsheetml/2006/main" count="889" uniqueCount="204">
  <si>
    <t>Patient_ID</t>
  </si>
  <si>
    <t>Age</t>
  </si>
  <si>
    <t>Gender</t>
  </si>
  <si>
    <t>Department</t>
  </si>
  <si>
    <t>Disease</t>
  </si>
  <si>
    <t>Admission_Date</t>
  </si>
  <si>
    <t>Discharge_Date</t>
  </si>
  <si>
    <t>Stay_Days</t>
  </si>
  <si>
    <t>Treatment_Cost</t>
  </si>
  <si>
    <t>Payment_Mode</t>
  </si>
  <si>
    <t>City</t>
  </si>
  <si>
    <t>P001</t>
  </si>
  <si>
    <t>Male</t>
  </si>
  <si>
    <t>Orthopedics</t>
  </si>
  <si>
    <t>PCOS</t>
  </si>
  <si>
    <t>07-03-2026</t>
  </si>
  <si>
    <t>10-03-2026</t>
  </si>
  <si>
    <t>Cash</t>
  </si>
  <si>
    <t>Kanpur</t>
  </si>
  <si>
    <t>P002</t>
  </si>
  <si>
    <t>General</t>
  </si>
  <si>
    <t>Infection</t>
  </si>
  <si>
    <t>02-03-2026</t>
  </si>
  <si>
    <t>05-03-2026</t>
  </si>
  <si>
    <t>Insurance</t>
  </si>
  <si>
    <t>Lucknow</t>
  </si>
  <si>
    <t>P003</t>
  </si>
  <si>
    <t>Cardiology</t>
  </si>
  <si>
    <t>18-03-2026</t>
  </si>
  <si>
    <t>24-03-2026</t>
  </si>
  <si>
    <t>P004</t>
  </si>
  <si>
    <t>Heart Disease</t>
  </si>
  <si>
    <t>22-03-2026</t>
  </si>
  <si>
    <t>P005</t>
  </si>
  <si>
    <t>Female</t>
  </si>
  <si>
    <t>Pregnancy</t>
  </si>
  <si>
    <t>30-03-2026</t>
  </si>
  <si>
    <t>07-04-2026</t>
  </si>
  <si>
    <t>Bangalore</t>
  </si>
  <si>
    <t>P006</t>
  </si>
  <si>
    <t>Stroke</t>
  </si>
  <si>
    <t>20-03-2026</t>
  </si>
  <si>
    <t>P007</t>
  </si>
  <si>
    <t>BP</t>
  </si>
  <si>
    <t>13-03-2026</t>
  </si>
  <si>
    <t>P008</t>
  </si>
  <si>
    <t>Neurology</t>
  </si>
  <si>
    <t>Paralysis</t>
  </si>
  <si>
    <t>17-03-2026</t>
  </si>
  <si>
    <t>21-03-2026</t>
  </si>
  <si>
    <t>P009</t>
  </si>
  <si>
    <t>Gynecology</t>
  </si>
  <si>
    <t>25-03-2026</t>
  </si>
  <si>
    <t>01-04-2026</t>
  </si>
  <si>
    <t>P010</t>
  </si>
  <si>
    <t>Mumbai</t>
  </si>
  <si>
    <t>P011</t>
  </si>
  <si>
    <t>Delhi</t>
  </si>
  <si>
    <t>P012</t>
  </si>
  <si>
    <t>Fever</t>
  </si>
  <si>
    <t>16-03-2026</t>
  </si>
  <si>
    <t>P013</t>
  </si>
  <si>
    <t>P014</t>
  </si>
  <si>
    <t>Fracture</t>
  </si>
  <si>
    <t>15-03-2026</t>
  </si>
  <si>
    <t>P015</t>
  </si>
  <si>
    <t>19-03-2026</t>
  </si>
  <si>
    <t>P016</t>
  </si>
  <si>
    <t>27-03-2026</t>
  </si>
  <si>
    <t>04-04-2026</t>
  </si>
  <si>
    <t>P017</t>
  </si>
  <si>
    <t>23-03-2026</t>
  </si>
  <si>
    <t>26-03-2026</t>
  </si>
  <si>
    <t>P018</t>
  </si>
  <si>
    <t>06-03-2026</t>
  </si>
  <si>
    <t>P019</t>
  </si>
  <si>
    <t>12-03-2026</t>
  </si>
  <si>
    <t>14-03-2026</t>
  </si>
  <si>
    <t>P020</t>
  </si>
  <si>
    <t>P021</t>
  </si>
  <si>
    <t>29-03-2026</t>
  </si>
  <si>
    <t>06-04-2026</t>
  </si>
  <si>
    <t>P022</t>
  </si>
  <si>
    <t>P023</t>
  </si>
  <si>
    <t>09-03-2026</t>
  </si>
  <si>
    <t>P024</t>
  </si>
  <si>
    <t>P025</t>
  </si>
  <si>
    <t>P026</t>
  </si>
  <si>
    <t>28-03-2026</t>
  </si>
  <si>
    <t>P027</t>
  </si>
  <si>
    <t>31-03-2026</t>
  </si>
  <si>
    <t>P028</t>
  </si>
  <si>
    <t>P029</t>
  </si>
  <si>
    <t>P030</t>
  </si>
  <si>
    <t>P031</t>
  </si>
  <si>
    <t>11-03-2026</t>
  </si>
  <si>
    <t>P032</t>
  </si>
  <si>
    <t>01-03-2026</t>
  </si>
  <si>
    <t>08-03-2026</t>
  </si>
  <si>
    <t>P033</t>
  </si>
  <si>
    <t>P034</t>
  </si>
  <si>
    <t>P035</t>
  </si>
  <si>
    <t>Injury</t>
  </si>
  <si>
    <t>P036</t>
  </si>
  <si>
    <t>P037</t>
  </si>
  <si>
    <t>P038</t>
  </si>
  <si>
    <t>03-04-2026</t>
  </si>
  <si>
    <t>P039</t>
  </si>
  <si>
    <t>P040</t>
  </si>
  <si>
    <t>P041</t>
  </si>
  <si>
    <t>P042</t>
  </si>
  <si>
    <t>P043</t>
  </si>
  <si>
    <t>P044</t>
  </si>
  <si>
    <t>P045</t>
  </si>
  <si>
    <t>P046</t>
  </si>
  <si>
    <t>02-04-2026</t>
  </si>
  <si>
    <t>P047</t>
  </si>
  <si>
    <t>P048</t>
  </si>
  <si>
    <t>P049</t>
  </si>
  <si>
    <t>P050</t>
  </si>
  <si>
    <t>04-03-2026</t>
  </si>
  <si>
    <t>P051</t>
  </si>
  <si>
    <t>P052</t>
  </si>
  <si>
    <t>P053</t>
  </si>
  <si>
    <t>P054</t>
  </si>
  <si>
    <t>P055</t>
  </si>
  <si>
    <t>P056</t>
  </si>
  <si>
    <t>03-03-2026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</si>
  <si>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</si>
  <si>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</si>
  <si>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</si>
  <si>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</si>
  <si>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</si>
  <si>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</si>
  <si>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</si>
  <si>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</si>
  <si>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</si>
  <si>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</si>
  <si>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</si>
  <si>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</si>
  <si>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</si>
  <si>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</si>
  <si>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</si>
  <si>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</si>
  <si>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</si>
  <si>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</si>
  <si>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</si>
  <si>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</si>
  <si>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</si>
  <si>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</si>
  <si>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</si>
  <si>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</si>
  <si>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</si>
  <si>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</si>
  <si>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</si>
  <si>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</si>
  <si>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</si>
  <si>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</si>
  <si>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</si>
  <si>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</si>
  <si>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</si>
  <si>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</si>
  <si>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</si>
  <si>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</si>
  <si>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</si>
  <si>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</si>
  <si>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</si>
  <si>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</si>
  <si>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</si>
  <si>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</si>
  <si>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</si>
  <si>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</si>
  <si>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Age Group</t>
  </si>
  <si>
    <t>stay duration</t>
  </si>
  <si>
    <t>Count of Patient_ID</t>
  </si>
  <si>
    <t>Row Labels</t>
  </si>
  <si>
    <t>Sum of Treatment_Cost</t>
  </si>
  <si>
    <t>HEALTH-CARE DATA 2026</t>
  </si>
  <si>
    <t>Acute_pt.</t>
  </si>
  <si>
    <t>Chronic_pt.</t>
  </si>
  <si>
    <t>Intermediate_pt.</t>
  </si>
  <si>
    <t>Sum of Stay_Days</t>
  </si>
  <si>
    <t>Count of stay duration</t>
  </si>
  <si>
    <t>Average of Treatment_Cost</t>
  </si>
  <si>
    <t>Adult</t>
  </si>
  <si>
    <t>Children</t>
  </si>
  <si>
    <t>Elder</t>
  </si>
  <si>
    <t>KEY INSIGHT</t>
  </si>
  <si>
    <t>GENERAL DEPARTMENTS has highest patients- major contributor</t>
  </si>
  <si>
    <t>MALE (57%)&gt;FEMALE (43%)- Slightly higher male visits</t>
  </si>
  <si>
    <t>CHRONIC CASES have highest stay - long-term treatments</t>
  </si>
  <si>
    <t>NEUROLOGY AND CARDIOLOGY -higher stays + higher cost.</t>
  </si>
  <si>
    <t>GENERAL DEPT- highest revenue (due to volume)</t>
  </si>
  <si>
    <t>HEART AND STROKE DISEASES- most expensive</t>
  </si>
  <si>
    <t xml:space="preserve">INSURANCE PATIENTS - higher average bills </t>
  </si>
  <si>
    <t>MUMBAI AND KANPUR -top revenue cities</t>
  </si>
  <si>
    <t>ADULTS- higher stays (high-risk group)</t>
  </si>
  <si>
    <t>SUMMARY</t>
  </si>
  <si>
    <t xml:space="preserve">            </t>
  </si>
  <si>
    <t>High-volume departments drive revenue , while chronic and critical cases increases hospitals satys and costs.</t>
  </si>
  <si>
    <t xml:space="preserve">OBJECTIVE OF HEALTH CARE DATA </t>
  </si>
  <si>
    <t>The obejective of this healthcare dataset is to understand patient patterns,</t>
  </si>
  <si>
    <t xml:space="preserve">hospital performances and treatments costs in order to improvedecision making , </t>
  </si>
  <si>
    <t>resources utilization , and overall patients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</si>
</sst>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8"/>
      <color theme="1"/>
      <name val="Calibri"/>
      <family val="2"/>
      <scheme val="minor"/>
    </font>
    <font>
      <b/>
      <sz val="16"/>
      <color theme="1"/>
      <name val="Calibri"/>
      <family val="2"/>
      <scheme val="minor"/>
    </font>
    <font>
      <sz val="8"/>
      <name val="Calibri"/>
      <family val="2"/>
      <scheme val="minor"/>
    </font>
    <font>
      <b/>
      <sz val="14"/>
      <color theme="1"/>
      <name val="Calibri"/>
      <family val="2"/>
      <scheme val="minor"/>
    </font>
    <font>
      <sz val="12"/>
      <color theme="1"/>
      <name val="Calibri"/>
      <family val="2"/>
      <scheme val="minor"/>
    </font>
    <font>
      <b/>
      <sz val="12"/>
      <color theme="1"/>
      <name val="Calibri"/>
      <family val="2"/>
      <scheme val="minor"/>
    </font>
    <font>
      <b/>
      <u/>
      <sz val="11"/>
      <color theme="1"/>
      <name val="Calibri"/>
      <family val="2"/>
      <scheme val="minor"/>
    </font>
    <font>
      <b/>
      <u/>
      <sz val="18"/>
      <color theme="1"/>
      <name val="Calibri"/>
      <family val="2"/>
      <scheme val="minor"/>
    </font>
    <font>
      <b/>
      <u/>
      <sz val="20"/>
      <color theme="1"/>
      <name val="Calibri"/>
      <family val="2"/>
      <scheme val="minor"/>
    </font>
    <font>
      <u/>
      <sz val="20"/>
      <color theme="1"/>
      <name val="Calibri"/>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4" borderId="0" xfId="0" applyFill="1"/>
    <xf numFmtId="2" fontId="0" fillId="0" borderId="0" xfId="0" applyNumberFormat="1"/>
    <xf numFmtId="0" fontId="5" fillId="0" borderId="0" xfId="0" applyFont="1"/>
    <xf numFmtId="0" fontId="7" fillId="0" borderId="0" xfId="0" applyFont="1"/>
    <xf numFmtId="0" fontId="0" fillId="6" borderId="0" xfId="0" applyFill="1"/>
    <xf numFmtId="0" fontId="6" fillId="6" borderId="0" xfId="0" applyFont="1" applyFill="1"/>
    <xf numFmtId="0" fontId="2" fillId="6" borderId="0" xfId="0" applyFont="1" applyFill="1"/>
    <xf numFmtId="0" fontId="9" fillId="6" borderId="0" xfId="0" applyFont="1" applyFill="1"/>
    <xf numFmtId="0" fontId="7" fillId="0" borderId="0" xfId="0" applyFont="1" applyAlignment="1">
      <alignment horizontal="left"/>
    </xf>
    <xf numFmtId="0" fontId="1" fillId="0" borderId="0" xfId="0" applyFont="1" applyAlignment="1">
      <alignment horizontal="left"/>
    </xf>
    <xf numFmtId="0" fontId="7" fillId="6" borderId="0" xfId="0" applyFont="1" applyFill="1"/>
    <xf numFmtId="0" fontId="3" fillId="3" borderId="0" xfId="0" applyFont="1" applyFill="1" applyAlignment="1">
      <alignment horizontal="center"/>
    </xf>
    <xf numFmtId="0" fontId="0" fillId="3" borderId="0" xfId="0" applyFill="1" applyAlignment="1">
      <alignment horizontal="center"/>
    </xf>
    <xf numFmtId="0" fontId="8" fillId="2" borderId="0" xfId="0" applyFont="1" applyFill="1" applyAlignment="1">
      <alignment horizontal="center" wrapText="1"/>
    </xf>
    <xf numFmtId="0" fontId="0" fillId="2" borderId="0" xfId="0" applyFill="1" applyAlignment="1">
      <alignment horizontal="center" wrapText="1"/>
    </xf>
    <xf numFmtId="0" fontId="3" fillId="5" borderId="0" xfId="0" applyFont="1" applyFill="1" applyAlignment="1">
      <alignment horizontal="center"/>
    </xf>
    <xf numFmtId="0" fontId="10" fillId="3" borderId="0" xfId="0" applyFont="1" applyFill="1" applyAlignment="1">
      <alignment horizontal="center"/>
    </xf>
    <xf numFmtId="0" fontId="11" fillId="3" borderId="0" xfId="0" applyFont="1" applyFill="1" applyAlignment="1">
      <alignment horizontal="center"/>
    </xf>
    <xf numFmtId="0" fontId="0" fillId="0" borderId="0" xfId="0" applyNumberFormat="1"/>
  </cellXfs>
  <cellStyles count="1">
    <cellStyle name="Normal" xfId="0" builtinId="0"/>
  </cellStyles>
  <dxfs count="6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2026.xlsx]MALE VS FEMALE!PivotTable4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Male</a:t>
            </a:r>
            <a:r>
              <a:rPr lang="en-US" b="1" u="sng" baseline="0"/>
              <a:t> Vs Female</a:t>
            </a:r>
            <a:endParaRPr lang="en-US" b="1" u="sng"/>
          </a:p>
        </c:rich>
      </c:tx>
      <c:layout>
        <c:manualLayout>
          <c:xMode val="edge"/>
          <c:yMode val="edge"/>
          <c:x val="5.1114341085271298E-2"/>
          <c:y val="8.58369098712446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0.15277777777777787"/>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w="19050">
            <a:solidFill>
              <a:schemeClr val="lt1"/>
            </a:solidFill>
          </a:ln>
          <a:effectLst/>
        </c:spPr>
        <c:dLbl>
          <c:idx val="0"/>
          <c:layout>
            <c:manualLayout>
              <c:x val="0.12638888888888883"/>
              <c:y val="-4.6296296296296398E-2"/>
            </c:manualLayout>
          </c:layout>
          <c:spPr>
            <a:noFill/>
            <a:ln>
              <a:noFill/>
            </a:ln>
            <a:effectLst/>
          </c:spPr>
          <c:txPr>
            <a:bodyPr rot="0" spcFirstLastPara="1" vertOverflow="clip" horzOverflow="clip" vert="horz" wrap="square" lIns="38100" tIns="19050" rIns="38100" bIns="19050" anchor="ctr" anchorCtr="0">
              <a:spAutoFit/>
            </a:bodyPr>
            <a:lstStyle/>
            <a:p>
              <a:pPr algn="ctr" rtl="0">
                <a:defRPr lang="en-US"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50174978127733"/>
                  <c:h val="0.13388743073782441"/>
                </c:manualLayout>
              </c15:layout>
            </c:ext>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dLbl>
          <c:idx val="0"/>
          <c:layout>
            <c:manualLayout>
              <c:x val="-0.15277777777777787"/>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layout>
            <c:manualLayout>
              <c:x val="0.12638888888888883"/>
              <c:y val="-4.6296296296296398E-2"/>
            </c:manualLayout>
          </c:layout>
          <c:spPr>
            <a:noFill/>
            <a:ln>
              <a:noFill/>
            </a:ln>
            <a:effectLst/>
          </c:spPr>
          <c:txPr>
            <a:bodyPr rot="0" spcFirstLastPara="1" vertOverflow="clip" horzOverflow="clip" vert="horz" wrap="square" lIns="38100" tIns="19050" rIns="38100" bIns="19050" anchor="ctr" anchorCtr="0">
              <a:spAutoFit/>
            </a:bodyPr>
            <a:lstStyle/>
            <a:p>
              <a:pPr algn="ctr" rtl="0">
                <a:defRPr lang="en-US"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50174978127733"/>
                  <c:h val="0.13388743073782441"/>
                </c:manualLayout>
              </c15:layout>
            </c:ext>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0.15224324414064005"/>
              <c:y val="6.65177760669038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246059745834197"/>
                  <c:h val="0.18546294429025534"/>
                </c:manualLayout>
              </c15:layout>
            </c:ext>
          </c:extLst>
        </c:dLbl>
      </c:pivotFmt>
      <c:pivotFmt>
        <c:idx val="8"/>
        <c:spPr>
          <a:solidFill>
            <a:schemeClr val="accent6"/>
          </a:solidFill>
          <a:ln w="19050">
            <a:solidFill>
              <a:schemeClr val="lt1"/>
            </a:solidFill>
          </a:ln>
          <a:effectLst/>
        </c:spPr>
        <c:dLbl>
          <c:idx val="0"/>
          <c:layout>
            <c:manualLayout>
              <c:x val="0.19421847341756698"/>
              <c:y val="-4.9440895359778192E-2"/>
            </c:manualLayout>
          </c:layout>
          <c:tx>
            <c:rich>
              <a:bodyPr rot="0" spcFirstLastPara="1" vertOverflow="clip" horzOverflow="clip" vert="horz" wrap="square" lIns="38100" tIns="19050" rIns="38100" bIns="19050" anchor="ctr" anchorCtr="0">
                <a:spAutoFit/>
              </a:bodyPr>
              <a:lstStyle/>
              <a:p>
                <a:pPr algn="ctr" rtl="0">
                  <a:defRPr lang="en-US" sz="800" b="1" i="0" u="none" strike="noStrike" kern="1200" baseline="0">
                    <a:solidFill>
                      <a:schemeClr val="bg1"/>
                    </a:solidFill>
                    <a:latin typeface="+mn-lt"/>
                    <a:ea typeface="+mn-ea"/>
                    <a:cs typeface="+mn-cs"/>
                  </a:defRPr>
                </a:pPr>
                <a:r>
                  <a:rPr lang="en-US" sz="800" baseline="0"/>
                  <a:t>Male
</a:t>
                </a:r>
                <a:fld id="{9E0E953E-E374-44E0-AE89-120981C5AD85}" type="PERCENTAGE">
                  <a:rPr lang="en-US" sz="800" baseline="0"/>
                  <a:pPr algn="ctr" rtl="0">
                    <a:defRPr lang="en-US" sz="800" b="1">
                      <a:solidFill>
                        <a:schemeClr val="bg1"/>
                      </a:solidFill>
                    </a:defRPr>
                  </a:pPr>
                  <a:t>[PERCENTAGE]</a:t>
                </a:fld>
                <a:endParaRPr lang="en-US" sz="800" baseline="0"/>
              </a:p>
            </c:rich>
          </c:tx>
          <c:spPr>
            <a:noFill/>
            <a:ln>
              <a:no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50190746505525"/>
                  <c:h val="0.20306987569949983"/>
                </c:manualLayout>
              </c15:layout>
              <c15:dlblFieldTable/>
              <c15:showDataLabelsRange val="0"/>
            </c:ext>
          </c:extLst>
        </c:dLbl>
      </c:pivotFmt>
    </c:pivotFmts>
    <c:plotArea>
      <c:layout/>
      <c:pieChart>
        <c:varyColors val="1"/>
        <c:ser>
          <c:idx val="0"/>
          <c:order val="0"/>
          <c:tx>
            <c:strRef>
              <c:f>'MALE VS FEMALE'!$B$3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E51-4ECB-A826-937CC923E3C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E51-4ECB-A826-937CC923E3C5}"/>
              </c:ext>
            </c:extLst>
          </c:dPt>
          <c:dLbls>
            <c:dLbl>
              <c:idx val="0"/>
              <c:layout>
                <c:manualLayout>
                  <c:x val="-0.15224324414064005"/>
                  <c:y val="6.65177760669038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246059745834197"/>
                      <c:h val="0.18546294429025534"/>
                    </c:manualLayout>
                  </c15:layout>
                </c:ext>
                <c:ext xmlns:c16="http://schemas.microsoft.com/office/drawing/2014/chart" uri="{C3380CC4-5D6E-409C-BE32-E72D297353CC}">
                  <c16:uniqueId val="{00000001-EE51-4ECB-A826-937CC923E3C5}"/>
                </c:ext>
              </c:extLst>
            </c:dLbl>
            <c:dLbl>
              <c:idx val="1"/>
              <c:layout>
                <c:manualLayout>
                  <c:x val="0.19421847341756698"/>
                  <c:y val="-4.9440895359778192E-2"/>
                </c:manualLayout>
              </c:layout>
              <c:tx>
                <c:rich>
                  <a:bodyPr rot="0" spcFirstLastPara="1" vertOverflow="clip" horzOverflow="clip" vert="horz" wrap="square" lIns="38100" tIns="19050" rIns="38100" bIns="19050" anchor="ctr" anchorCtr="0">
                    <a:spAutoFit/>
                  </a:bodyPr>
                  <a:lstStyle/>
                  <a:p>
                    <a:pPr algn="ctr" rtl="0">
                      <a:defRPr lang="en-US" sz="800" b="1" i="0" u="none" strike="noStrike" kern="1200" baseline="0">
                        <a:solidFill>
                          <a:schemeClr val="bg1"/>
                        </a:solidFill>
                        <a:latin typeface="+mn-lt"/>
                        <a:ea typeface="+mn-ea"/>
                        <a:cs typeface="+mn-cs"/>
                      </a:defRPr>
                    </a:pPr>
                    <a:r>
                      <a:rPr lang="en-US" sz="800" baseline="0"/>
                      <a:t>Male
</a:t>
                    </a:r>
                    <a:fld id="{9E0E953E-E374-44E0-AE89-120981C5AD85}" type="PERCENTAGE">
                      <a:rPr lang="en-US" sz="800" baseline="0"/>
                      <a:pPr algn="ctr" rtl="0">
                        <a:defRPr lang="en-US" sz="800" b="1">
                          <a:solidFill>
                            <a:schemeClr val="bg1"/>
                          </a:solidFill>
                        </a:defRPr>
                      </a:pPr>
                      <a:t>[PERCENTAGE]</a:t>
                    </a:fld>
                    <a:endParaRPr lang="en-US" sz="800" baseline="0"/>
                  </a:p>
                </c:rich>
              </c:tx>
              <c:spPr>
                <a:noFill/>
                <a:ln>
                  <a:no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50190746505525"/>
                      <c:h val="0.20306987569949983"/>
                    </c:manualLayout>
                  </c15:layout>
                  <c15:dlblFieldTable/>
                  <c15:showDataLabelsRange val="0"/>
                </c:ext>
                <c:ext xmlns:c16="http://schemas.microsoft.com/office/drawing/2014/chart" uri="{C3380CC4-5D6E-409C-BE32-E72D297353CC}">
                  <c16:uniqueId val="{00000003-EE51-4ECB-A826-937CC923E3C5}"/>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'MALE VS FEMALE'!$A$4:$A$5</c:f>
              <c:strCache>
                <c:ptCount val="2"/>
                <c:pt idx="0">
                  <c:v>Female</c:v>
                </c:pt>
                <c:pt idx="1">
                  <c:v>Male</c:v>
                </c:pt>
              </c:strCache>
            </c:strRef>
          </c:cat>
          <c:val>
            <c:numRef>
              <c:f>'MALE VS FEMALE'!$B$4:$B$5</c:f>
              <c:numCache>
                <c:formatCode>General</c:formatCode>
                <c:ptCount val="2"/>
                <c:pt idx="0">
                  <c:v>43</c:v>
                </c:pt>
                <c:pt idx="1">
                  <c:v>57</c:v>
                </c:pt>
              </c:numCache>
            </c:numRef>
          </c:val>
          <c:extLst>
            <c:ext xmlns:c16="http://schemas.microsoft.com/office/drawing/2014/chart" uri="{C3380CC4-5D6E-409C-BE32-E72D297353CC}">
              <c16:uniqueId val="{00000004-EE51-4ECB-A826-937CC923E3C5}"/>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8416079167429646"/>
          <c:y val="3.9929370416680737E-2"/>
          <c:w val="0.35811359335896964"/>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2026.xlsx]depart Vs pt!PivotTable2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a:t>
            </a:r>
            <a:r>
              <a:rPr lang="en-US" baseline="0"/>
              <a:t>. VS 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 Vs pt'!$B$3</c:f>
              <c:strCache>
                <c:ptCount val="1"/>
                <c:pt idx="0">
                  <c:v>Total</c:v>
                </c:pt>
              </c:strCache>
            </c:strRef>
          </c:tx>
          <c:spPr>
            <a:solidFill>
              <a:schemeClr val="accent2"/>
            </a:solidFill>
            <a:ln>
              <a:noFill/>
            </a:ln>
            <a:effectLst/>
          </c:spPr>
          <c:invertIfNegative val="0"/>
          <c:cat>
            <c:strRef>
              <c:f>'depart Vs pt'!$A$4:$A$8</c:f>
              <c:strCache>
                <c:ptCount val="5"/>
                <c:pt idx="0">
                  <c:v>Cardiology</c:v>
                </c:pt>
                <c:pt idx="1">
                  <c:v>General</c:v>
                </c:pt>
                <c:pt idx="2">
                  <c:v>Gynecology</c:v>
                </c:pt>
                <c:pt idx="3">
                  <c:v>Neurology</c:v>
                </c:pt>
                <c:pt idx="4">
                  <c:v>Orthopedics</c:v>
                </c:pt>
              </c:strCache>
            </c:strRef>
          </c:cat>
          <c:val>
            <c:numRef>
              <c:f>'depart Vs pt'!$B$4:$B$8</c:f>
              <c:numCache>
                <c:formatCode>General</c:formatCode>
                <c:ptCount val="5"/>
                <c:pt idx="0">
                  <c:v>18</c:v>
                </c:pt>
                <c:pt idx="1">
                  <c:v>25</c:v>
                </c:pt>
                <c:pt idx="2">
                  <c:v>20</c:v>
                </c:pt>
                <c:pt idx="3">
                  <c:v>19</c:v>
                </c:pt>
                <c:pt idx="4">
                  <c:v>18</c:v>
                </c:pt>
              </c:numCache>
            </c:numRef>
          </c:val>
          <c:extLst>
            <c:ext xmlns:c16="http://schemas.microsoft.com/office/drawing/2014/chart" uri="{C3380CC4-5D6E-409C-BE32-E72D297353CC}">
              <c16:uniqueId val="{00000000-B9E3-4499-A007-19B3C06C66AF}"/>
            </c:ext>
          </c:extLst>
        </c:ser>
        <c:dLbls>
          <c:showLegendKey val="0"/>
          <c:showVal val="0"/>
          <c:showCatName val="0"/>
          <c:showSerName val="0"/>
          <c:showPercent val="0"/>
          <c:showBubbleSize val="0"/>
        </c:dLbls>
        <c:gapWidth val="219"/>
        <c:overlap val="-27"/>
        <c:axId val="326781664"/>
        <c:axId val="326757184"/>
      </c:barChart>
      <c:catAx>
        <c:axId val="326781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757184"/>
        <c:crosses val="autoZero"/>
        <c:auto val="1"/>
        <c:lblAlgn val="ctr"/>
        <c:lblOffset val="100"/>
        <c:noMultiLvlLbl val="0"/>
      </c:catAx>
      <c:valAx>
        <c:axId val="326757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PATIENTS</a:t>
                </a:r>
              </a:p>
            </c:rich>
          </c:tx>
          <c:layout>
            <c:manualLayout>
              <c:xMode val="edge"/>
              <c:yMode val="edge"/>
              <c:x val="2.2222222222222223E-2"/>
              <c:y val="0.389621974336541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78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2026.xlsx]AVG STAYS!PivotTable5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Average</a:t>
            </a:r>
            <a:r>
              <a:rPr lang="en-US" b="1" u="sng" baseline="0"/>
              <a:t> stays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STAYS'!$B$3</c:f>
              <c:strCache>
                <c:ptCount val="1"/>
                <c:pt idx="0">
                  <c:v>Total</c:v>
                </c:pt>
              </c:strCache>
            </c:strRef>
          </c:tx>
          <c:spPr>
            <a:solidFill>
              <a:schemeClr val="accent2"/>
            </a:solidFill>
            <a:ln>
              <a:noFill/>
            </a:ln>
            <a:effectLst/>
          </c:spPr>
          <c:invertIfNegative val="0"/>
          <c:cat>
            <c:strRef>
              <c:f>'AVG STAYS'!$A$4:$A$6</c:f>
              <c:strCache>
                <c:ptCount val="3"/>
                <c:pt idx="0">
                  <c:v>Acute_pt.</c:v>
                </c:pt>
                <c:pt idx="1">
                  <c:v>Chronic_pt.</c:v>
                </c:pt>
                <c:pt idx="2">
                  <c:v>Intermediate_pt.</c:v>
                </c:pt>
              </c:strCache>
            </c:strRef>
          </c:cat>
          <c:val>
            <c:numRef>
              <c:f>'AVG STAYS'!$B$4:$B$6</c:f>
              <c:numCache>
                <c:formatCode>General</c:formatCode>
                <c:ptCount val="3"/>
                <c:pt idx="0">
                  <c:v>13</c:v>
                </c:pt>
                <c:pt idx="1">
                  <c:v>58</c:v>
                </c:pt>
                <c:pt idx="2">
                  <c:v>29</c:v>
                </c:pt>
              </c:numCache>
            </c:numRef>
          </c:val>
          <c:extLst>
            <c:ext xmlns:c16="http://schemas.microsoft.com/office/drawing/2014/chart" uri="{C3380CC4-5D6E-409C-BE32-E72D297353CC}">
              <c16:uniqueId val="{00000000-7C98-4C1D-AA9C-6CC07FD55D33}"/>
            </c:ext>
          </c:extLst>
        </c:ser>
        <c:dLbls>
          <c:showLegendKey val="0"/>
          <c:showVal val="0"/>
          <c:showCatName val="0"/>
          <c:showSerName val="0"/>
          <c:showPercent val="0"/>
          <c:showBubbleSize val="0"/>
        </c:dLbls>
        <c:gapWidth val="219"/>
        <c:overlap val="-27"/>
        <c:axId val="228402048"/>
        <c:axId val="228381408"/>
      </c:barChart>
      <c:catAx>
        <c:axId val="22840204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Patients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381408"/>
        <c:crosses val="autoZero"/>
        <c:auto val="1"/>
        <c:lblAlgn val="ctr"/>
        <c:lblOffset val="100"/>
        <c:noMultiLvlLbl val="0"/>
      </c:catAx>
      <c:valAx>
        <c:axId val="22838140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Duration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40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2026.xlsx]Avg stay VS revenue!PivotTable7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Departments</a:t>
            </a:r>
            <a:r>
              <a:rPr lang="en-US" baseline="0"/>
              <a:t> vs days of stays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stay VS revenue'!$B$3</c:f>
              <c:strCache>
                <c:ptCount val="1"/>
                <c:pt idx="0">
                  <c:v>Total</c:v>
                </c:pt>
              </c:strCache>
            </c:strRef>
          </c:tx>
          <c:spPr>
            <a:solidFill>
              <a:schemeClr val="accent2"/>
            </a:solidFill>
            <a:ln>
              <a:noFill/>
            </a:ln>
            <a:effectLst/>
          </c:spPr>
          <c:invertIfNegative val="0"/>
          <c:cat>
            <c:strRef>
              <c:f>'Avg stay VS revenue'!$A$4:$A$8</c:f>
              <c:strCache>
                <c:ptCount val="5"/>
                <c:pt idx="0">
                  <c:v>Cardiology</c:v>
                </c:pt>
                <c:pt idx="1">
                  <c:v>General</c:v>
                </c:pt>
                <c:pt idx="2">
                  <c:v>Gynecology</c:v>
                </c:pt>
                <c:pt idx="3">
                  <c:v>Neurology</c:v>
                </c:pt>
                <c:pt idx="4">
                  <c:v>Orthopedics</c:v>
                </c:pt>
              </c:strCache>
            </c:strRef>
          </c:cat>
          <c:val>
            <c:numRef>
              <c:f>'Avg stay VS revenue'!$B$4:$B$8</c:f>
              <c:numCache>
                <c:formatCode>General</c:formatCode>
                <c:ptCount val="5"/>
                <c:pt idx="0">
                  <c:v>82</c:v>
                </c:pt>
                <c:pt idx="1">
                  <c:v>132</c:v>
                </c:pt>
                <c:pt idx="2">
                  <c:v>107</c:v>
                </c:pt>
                <c:pt idx="3">
                  <c:v>96</c:v>
                </c:pt>
                <c:pt idx="4">
                  <c:v>98</c:v>
                </c:pt>
              </c:numCache>
            </c:numRef>
          </c:val>
          <c:extLst>
            <c:ext xmlns:c16="http://schemas.microsoft.com/office/drawing/2014/chart" uri="{C3380CC4-5D6E-409C-BE32-E72D297353CC}">
              <c16:uniqueId val="{00000000-DACF-4730-BBF5-931D58458A47}"/>
            </c:ext>
          </c:extLst>
        </c:ser>
        <c:dLbls>
          <c:showLegendKey val="0"/>
          <c:showVal val="0"/>
          <c:showCatName val="0"/>
          <c:showSerName val="0"/>
          <c:showPercent val="0"/>
          <c:showBubbleSize val="0"/>
        </c:dLbls>
        <c:gapWidth val="219"/>
        <c:overlap val="-27"/>
        <c:axId val="339452160"/>
        <c:axId val="339452640"/>
      </c:barChart>
      <c:catAx>
        <c:axId val="339452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departments</a:t>
                </a:r>
              </a:p>
            </c:rich>
          </c:tx>
          <c:layout>
            <c:manualLayout>
              <c:xMode val="edge"/>
              <c:yMode val="edge"/>
              <c:x val="0.37779210428585142"/>
              <c:y val="0.874050743657042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52640"/>
        <c:crosses val="autoZero"/>
        <c:auto val="1"/>
        <c:lblAlgn val="ctr"/>
        <c:lblOffset val="100"/>
        <c:noMultiLvlLbl val="0"/>
      </c:catAx>
      <c:valAx>
        <c:axId val="339452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r>
                  <a:rPr lang="en-US" baseline="0"/>
                  <a:t> of stays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52160"/>
        <c:crosses val="autoZero"/>
        <c:crossBetween val="between"/>
      </c:valAx>
      <c:spPr>
        <a:noFill/>
        <a:ln>
          <a:noFill/>
        </a:ln>
        <a:effectLst/>
      </c:spPr>
    </c:plotArea>
    <c:legend>
      <c:legendPos val="r"/>
      <c:layout>
        <c:manualLayout>
          <c:xMode val="edge"/>
          <c:yMode val="edge"/>
          <c:x val="0.67970297462817153"/>
          <c:y val="0.15212999416739573"/>
          <c:w val="9.1167707772617457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2026.xlsx]revenue vs patient!PivotTable8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Patients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25400">
            <a:solidFill>
              <a:schemeClr val="lt1"/>
            </a:solidFill>
          </a:ln>
          <a:effectLst/>
          <a:sp3d contourW="25400">
            <a:contourClr>
              <a:schemeClr val="lt1"/>
            </a:contourClr>
          </a:sp3d>
        </c:spPr>
        <c:dLbl>
          <c:idx val="0"/>
          <c:layout>
            <c:manualLayout>
              <c:x val="-0.16944444444444445"/>
              <c:y val="-0.1388888888888888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
              <c:y val="8.273792327295145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25400">
            <a:solidFill>
              <a:schemeClr val="lt1"/>
            </a:solidFill>
          </a:ln>
          <a:effectLst/>
          <a:sp3d contourW="25400">
            <a:contourClr>
              <a:schemeClr val="lt1"/>
            </a:contourClr>
          </a:sp3d>
        </c:spPr>
        <c:dLbl>
          <c:idx val="0"/>
          <c:layout>
            <c:manualLayout>
              <c:x val="0.13055555555555556"/>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25400">
            <a:solidFill>
              <a:schemeClr val="lt1"/>
            </a:solidFill>
          </a:ln>
          <a:effectLst/>
          <a:sp3d contourW="25400">
            <a:contourClr>
              <a:schemeClr val="lt1"/>
            </a:contourClr>
          </a:sp3d>
        </c:spPr>
        <c:dLbl>
          <c:idx val="0"/>
          <c:layout>
            <c:manualLayout>
              <c:x val="0.13333333333333333"/>
              <c:y val="-0.1066136151631574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25400">
            <a:solidFill>
              <a:schemeClr val="lt1"/>
            </a:solidFill>
          </a:ln>
          <a:effectLst/>
          <a:sp3d contourW="25400">
            <a:contourClr>
              <a:schemeClr val="lt1"/>
            </a:contourClr>
          </a:sp3d>
        </c:spPr>
        <c:dLbl>
          <c:idx val="0"/>
          <c:layout>
            <c:manualLayout>
              <c:x val="0.1"/>
              <c:y val="-0.2777777777777778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1"/>
              <c:y val="8.273792327295145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0.16944444444444445"/>
              <c:y val="-0.1388888888888888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dLbl>
          <c:idx val="0"/>
          <c:layout>
            <c:manualLayout>
              <c:x val="0.1"/>
              <c:y val="-0.2777777777777778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0.13333333333333333"/>
              <c:y val="-0.1066136151631574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0.13055555555555556"/>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0.1"/>
              <c:y val="8.2737923272951458E-2"/>
            </c:manualLayout>
          </c:layout>
          <c:spPr>
            <a:noFill/>
            <a:ln>
              <a:no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0.16944444444444445"/>
              <c:y val="-0.13888888888888881"/>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0.1"/>
              <c:y val="-0.27777777777777785"/>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0.13333333333333333"/>
              <c:y val="-0.10661361516315745"/>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0.13055560405281935"/>
              <c:y val="0.10988594596642792"/>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345881896689036E-2"/>
          <c:y val="0.19617498620788296"/>
          <c:w val="0.65151159230096234"/>
          <c:h val="0.66745953630796151"/>
        </c:manualLayout>
      </c:layout>
      <c:pie3DChart>
        <c:varyColors val="1"/>
        <c:ser>
          <c:idx val="0"/>
          <c:order val="0"/>
          <c:tx>
            <c:strRef>
              <c:f>'revenue vs patient'!$B$3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638-4AE8-8715-1880FEDF220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638-4AE8-8715-1880FEDF220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638-4AE8-8715-1880FEDF2205}"/>
              </c:ext>
            </c:extLst>
          </c:dPt>
          <c:dPt>
            <c:idx val="3"/>
            <c:bubble3D val="0"/>
            <c:explosion val="15"/>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638-4AE8-8715-1880FEDF220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638-4AE8-8715-1880FEDF2205}"/>
              </c:ext>
            </c:extLst>
          </c:dPt>
          <c:dLbls>
            <c:dLbl>
              <c:idx val="0"/>
              <c:layout>
                <c:manualLayout>
                  <c:x val="-0.1"/>
                  <c:y val="8.2737923272951458E-2"/>
                </c:manualLayout>
              </c:layout>
              <c:spPr>
                <a:noFill/>
                <a:ln>
                  <a:no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F638-4AE8-8715-1880FEDF2205}"/>
                </c:ext>
              </c:extLst>
            </c:dLbl>
            <c:dLbl>
              <c:idx val="1"/>
              <c:layout>
                <c:manualLayout>
                  <c:x val="-0.16944444444444445"/>
                  <c:y val="-0.138888888888888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638-4AE8-8715-1880FEDF2205}"/>
                </c:ext>
              </c:extLst>
            </c:dLbl>
            <c:dLbl>
              <c:idx val="2"/>
              <c:layout>
                <c:manualLayout>
                  <c:x val="0.1"/>
                  <c:y val="-0.277777777777777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638-4AE8-8715-1880FEDF2205}"/>
                </c:ext>
              </c:extLst>
            </c:dLbl>
            <c:dLbl>
              <c:idx val="3"/>
              <c:layout>
                <c:manualLayout>
                  <c:x val="0.13333333333333333"/>
                  <c:y val="-0.1066136151631574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638-4AE8-8715-1880FEDF2205}"/>
                </c:ext>
              </c:extLst>
            </c:dLbl>
            <c:dLbl>
              <c:idx val="4"/>
              <c:layout>
                <c:manualLayout>
                  <c:x val="0.13055560405281935"/>
                  <c:y val="0.10988594596642792"/>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F638-4AE8-8715-1880FEDF2205}"/>
                </c:ext>
              </c:extLst>
            </c:dLbl>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'revenue vs patient'!$A$4:$A$8</c:f>
              <c:strCache>
                <c:ptCount val="5"/>
                <c:pt idx="0">
                  <c:v>Cardiology</c:v>
                </c:pt>
                <c:pt idx="1">
                  <c:v>General</c:v>
                </c:pt>
                <c:pt idx="2">
                  <c:v>Gynecology</c:v>
                </c:pt>
                <c:pt idx="3">
                  <c:v>Neurology</c:v>
                </c:pt>
                <c:pt idx="4">
                  <c:v>Orthopedics</c:v>
                </c:pt>
              </c:strCache>
            </c:strRef>
          </c:cat>
          <c:val>
            <c:numRef>
              <c:f>'revenue vs patient'!$B$4:$B$8</c:f>
              <c:numCache>
                <c:formatCode>0.00%</c:formatCode>
                <c:ptCount val="5"/>
                <c:pt idx="0">
                  <c:v>0.16973431764266031</c:v>
                </c:pt>
                <c:pt idx="1">
                  <c:v>0.28442687731258809</c:v>
                </c:pt>
                <c:pt idx="2">
                  <c:v>0.18460423394044384</c:v>
                </c:pt>
                <c:pt idx="3">
                  <c:v>0.20391704685913786</c:v>
                </c:pt>
                <c:pt idx="4">
                  <c:v>0.15731752424516993</c:v>
                </c:pt>
              </c:numCache>
            </c:numRef>
          </c:val>
          <c:extLst>
            <c:ext xmlns:c16="http://schemas.microsoft.com/office/drawing/2014/chart" uri="{C3380CC4-5D6E-409C-BE32-E72D297353CC}">
              <c16:uniqueId val="{0000000A-F638-4AE8-8715-1880FEDF2205}"/>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2026.xlsx]disease vs cost !PivotTable9</c:name>
    <c:fmtId val="11"/>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Disease</a:t>
            </a:r>
            <a:r>
              <a:rPr lang="en-US" b="1" u="sng" baseline="0"/>
              <a:t> vs cost Analysis</a:t>
            </a:r>
            <a:endParaRPr lang="en-US"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654420285769768"/>
          <c:y val="0.30879407107799717"/>
          <c:w val="0.7237899260205839"/>
          <c:h val="0.26993376571639449"/>
        </c:manualLayout>
      </c:layout>
      <c:bar3DChart>
        <c:barDir val="col"/>
        <c:grouping val="clustered"/>
        <c:varyColors val="0"/>
        <c:ser>
          <c:idx val="0"/>
          <c:order val="0"/>
          <c:tx>
            <c:strRef>
              <c:f>'disease vs cost '!$B$3</c:f>
              <c:strCache>
                <c:ptCount val="1"/>
                <c:pt idx="0">
                  <c:v>Total</c:v>
                </c:pt>
              </c:strCache>
            </c:strRef>
          </c:tx>
          <c:spPr>
            <a:solidFill>
              <a:schemeClr val="accent2"/>
            </a:solidFill>
            <a:ln>
              <a:noFill/>
            </a:ln>
            <a:effectLst/>
            <a:sp3d/>
          </c:spPr>
          <c:invertIfNegative val="0"/>
          <c:cat>
            <c:strRef>
              <c:f>'disease vs cost '!$A$4:$A$13</c:f>
              <c:strCache>
                <c:ptCount val="10"/>
                <c:pt idx="0">
                  <c:v>BP</c:v>
                </c:pt>
                <c:pt idx="1">
                  <c:v>Fever</c:v>
                </c:pt>
                <c:pt idx="2">
                  <c:v>Fracture</c:v>
                </c:pt>
                <c:pt idx="3">
                  <c:v>Heart Disease</c:v>
                </c:pt>
                <c:pt idx="4">
                  <c:v>Infection</c:v>
                </c:pt>
                <c:pt idx="5">
                  <c:v>Injury</c:v>
                </c:pt>
                <c:pt idx="6">
                  <c:v>Paralysis</c:v>
                </c:pt>
                <c:pt idx="7">
                  <c:v>PCOS</c:v>
                </c:pt>
                <c:pt idx="8">
                  <c:v>Pregnancy</c:v>
                </c:pt>
                <c:pt idx="9">
                  <c:v>Stroke</c:v>
                </c:pt>
              </c:strCache>
            </c:strRef>
          </c:cat>
          <c:val>
            <c:numRef>
              <c:f>'disease vs cost '!$B$4:$B$13</c:f>
              <c:numCache>
                <c:formatCode>0.00%</c:formatCode>
                <c:ptCount val="10"/>
                <c:pt idx="0">
                  <c:v>0.10953617849022011</c:v>
                </c:pt>
                <c:pt idx="1">
                  <c:v>0.18501702384136096</c:v>
                </c:pt>
                <c:pt idx="2">
                  <c:v>7.9760754823421723E-2</c:v>
                </c:pt>
                <c:pt idx="3">
                  <c:v>7.7452490909308627E-2</c:v>
                </c:pt>
                <c:pt idx="4">
                  <c:v>0.10099365614102314</c:v>
                </c:pt>
                <c:pt idx="5">
                  <c:v>5.1097801602729136E-2</c:v>
                </c:pt>
                <c:pt idx="6">
                  <c:v>0.1028956163774809</c:v>
                </c:pt>
                <c:pt idx="7">
                  <c:v>6.8842112685988291E-2</c:v>
                </c:pt>
                <c:pt idx="8">
                  <c:v>8.5607170370133837E-2</c:v>
                </c:pt>
                <c:pt idx="9">
                  <c:v>0.1387971947583333</c:v>
                </c:pt>
              </c:numCache>
            </c:numRef>
          </c:val>
          <c:extLst>
            <c:ext xmlns:c16="http://schemas.microsoft.com/office/drawing/2014/chart" uri="{C3380CC4-5D6E-409C-BE32-E72D297353CC}">
              <c16:uniqueId val="{00000000-1D5C-491D-84EC-0E7C00CBEE61}"/>
            </c:ext>
          </c:extLst>
        </c:ser>
        <c:dLbls>
          <c:showLegendKey val="0"/>
          <c:showVal val="0"/>
          <c:showCatName val="0"/>
          <c:showSerName val="0"/>
          <c:showPercent val="0"/>
          <c:showBubbleSize val="0"/>
        </c:dLbls>
        <c:gapWidth val="150"/>
        <c:shape val="box"/>
        <c:axId val="494263760"/>
        <c:axId val="494260400"/>
        <c:axId val="0"/>
      </c:bar3DChart>
      <c:catAx>
        <c:axId val="49426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Disease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4260400"/>
        <c:crosses val="autoZero"/>
        <c:auto val="1"/>
        <c:lblAlgn val="ctr"/>
        <c:lblOffset val="100"/>
        <c:noMultiLvlLbl val="0"/>
      </c:catAx>
      <c:valAx>
        <c:axId val="4942604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Treatment</a:t>
                </a:r>
                <a:r>
                  <a:rPr lang="en-IN" baseline="0"/>
                  <a:t> cost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26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2026.xlsx]high risk patient!PivotTable10</c:name>
    <c:fmtId val="4"/>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High</a:t>
            </a:r>
            <a:r>
              <a:rPr lang="en-US" b="1" u="sng" baseline="0"/>
              <a:t> risk pt </a:t>
            </a:r>
            <a:endParaRPr lang="en-US"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64730726429807"/>
          <c:y val="0.25621064706722702"/>
          <c:w val="0.76914720840763762"/>
          <c:h val="0.45183883834630867"/>
        </c:manualLayout>
      </c:layout>
      <c:barChart>
        <c:barDir val="col"/>
        <c:grouping val="clustered"/>
        <c:varyColors val="0"/>
        <c:ser>
          <c:idx val="0"/>
          <c:order val="0"/>
          <c:tx>
            <c:strRef>
              <c:f>'high risk patient'!$B$3</c:f>
              <c:strCache>
                <c:ptCount val="1"/>
                <c:pt idx="0">
                  <c:v>Total</c:v>
                </c:pt>
              </c:strCache>
            </c:strRef>
          </c:tx>
          <c:spPr>
            <a:solidFill>
              <a:schemeClr val="accent2"/>
            </a:solidFill>
            <a:ln>
              <a:noFill/>
            </a:ln>
            <a:effectLst/>
          </c:spPr>
          <c:invertIfNegative val="0"/>
          <c:cat>
            <c:strRef>
              <c:f>'high risk patient'!$A$4:$A$6</c:f>
              <c:strCache>
                <c:ptCount val="3"/>
                <c:pt idx="0">
                  <c:v>Adult</c:v>
                </c:pt>
                <c:pt idx="1">
                  <c:v>Children</c:v>
                </c:pt>
                <c:pt idx="2">
                  <c:v>Elder</c:v>
                </c:pt>
              </c:strCache>
            </c:strRef>
          </c:cat>
          <c:val>
            <c:numRef>
              <c:f>'high risk patient'!$B$4:$B$6</c:f>
              <c:numCache>
                <c:formatCode>General</c:formatCode>
                <c:ptCount val="3"/>
                <c:pt idx="0">
                  <c:v>67</c:v>
                </c:pt>
                <c:pt idx="1">
                  <c:v>18</c:v>
                </c:pt>
                <c:pt idx="2">
                  <c:v>15</c:v>
                </c:pt>
              </c:numCache>
            </c:numRef>
          </c:val>
          <c:extLst>
            <c:ext xmlns:c16="http://schemas.microsoft.com/office/drawing/2014/chart" uri="{C3380CC4-5D6E-409C-BE32-E72D297353CC}">
              <c16:uniqueId val="{00000000-4C32-4C51-ABAB-440A28BED08F}"/>
            </c:ext>
          </c:extLst>
        </c:ser>
        <c:dLbls>
          <c:showLegendKey val="0"/>
          <c:showVal val="0"/>
          <c:showCatName val="0"/>
          <c:showSerName val="0"/>
          <c:showPercent val="0"/>
          <c:showBubbleSize val="0"/>
        </c:dLbls>
        <c:gapWidth val="219"/>
        <c:overlap val="-27"/>
        <c:axId val="493211808"/>
        <c:axId val="493210368"/>
      </c:barChart>
      <c:catAx>
        <c:axId val="49321180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Age</a:t>
                </a:r>
                <a:r>
                  <a:rPr lang="en-IN" b="1" baseline="0"/>
                  <a:t> group</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210368"/>
        <c:crosses val="autoZero"/>
        <c:auto val="1"/>
        <c:lblAlgn val="ctr"/>
        <c:lblOffset val="100"/>
        <c:noMultiLvlLbl val="0"/>
      </c:catAx>
      <c:valAx>
        <c:axId val="49321036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Length</a:t>
                </a:r>
                <a:r>
                  <a:rPr lang="en-IN" b="1" baseline="0"/>
                  <a:t> of stays </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21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2026.xlsx]city vs revenue !PivotTable11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city</a:t>
            </a:r>
            <a:r>
              <a:rPr lang="en-US" b="1" u="sng" baseline="0"/>
              <a:t> vs revenue</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25400">
            <a:solidFill>
              <a:schemeClr val="lt1"/>
            </a:solidFill>
          </a:ln>
          <a:effectLst/>
          <a:sp3d contourW="25400">
            <a:contourClr>
              <a:schemeClr val="lt1"/>
            </a:contourClr>
          </a:sp3d>
        </c:spPr>
        <c:dLbl>
          <c:idx val="0"/>
          <c:layout>
            <c:manualLayout>
              <c:x val="-0.19659558180227482"/>
              <c:y val="-0.2540722513852435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dLbl>
          <c:idx val="0"/>
          <c:layout>
            <c:manualLayout>
              <c:x val="-0.19659558180227482"/>
              <c:y val="-0.2540722513852435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dLbl>
          <c:idx val="0"/>
          <c:layout>
            <c:manualLayout>
              <c:x val="-0.19659558180227482"/>
              <c:y val="-0.2540722513852435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'city vs revenue '!$B$3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DC5-4FF7-9D1B-E573F4DF732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DC5-4FF7-9D1B-E573F4DF732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DC5-4FF7-9D1B-E573F4DF732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DC5-4FF7-9D1B-E573F4DF732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DC5-4FF7-9D1B-E573F4DF732E}"/>
              </c:ext>
            </c:extLst>
          </c:dPt>
          <c:dLbls>
            <c:dLbl>
              <c:idx val="2"/>
              <c:layout>
                <c:manualLayout>
                  <c:x val="-0.19659558180227482"/>
                  <c:y val="-0.2540722513852435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DC5-4FF7-9D1B-E573F4DF732E}"/>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'city vs revenue '!$A$4:$A$8</c:f>
              <c:strCache>
                <c:ptCount val="5"/>
                <c:pt idx="0">
                  <c:v>Bangalore</c:v>
                </c:pt>
                <c:pt idx="1">
                  <c:v>Delhi</c:v>
                </c:pt>
                <c:pt idx="2">
                  <c:v>Kanpur</c:v>
                </c:pt>
                <c:pt idx="3">
                  <c:v>Lucknow</c:v>
                </c:pt>
                <c:pt idx="4">
                  <c:v>Mumbai</c:v>
                </c:pt>
              </c:strCache>
            </c:strRef>
          </c:cat>
          <c:val>
            <c:numRef>
              <c:f>'city vs revenue '!$B$4:$B$8</c:f>
              <c:numCache>
                <c:formatCode>0.00%</c:formatCode>
                <c:ptCount val="5"/>
                <c:pt idx="0">
                  <c:v>0.14443305751916263</c:v>
                </c:pt>
                <c:pt idx="1">
                  <c:v>9.8808297842050155E-2</c:v>
                </c:pt>
                <c:pt idx="2">
                  <c:v>0.26060946549528802</c:v>
                </c:pt>
                <c:pt idx="3">
                  <c:v>0.21219330142776743</c:v>
                </c:pt>
                <c:pt idx="4">
                  <c:v>0.28395587771573177</c:v>
                </c:pt>
              </c:numCache>
            </c:numRef>
          </c:val>
          <c:extLst>
            <c:ext xmlns:c16="http://schemas.microsoft.com/office/drawing/2014/chart" uri="{C3380CC4-5D6E-409C-BE32-E72D297353CC}">
              <c16:uniqueId val="{0000000A-ADC5-4FF7-9D1B-E573F4DF732E}"/>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2026.xlsx]INSURANCE IMPACT ANALYSIS!PivotTable13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INSURANCE</a:t>
            </a:r>
            <a:r>
              <a:rPr lang="en-US" b="1" u="sng" baseline="0"/>
              <a:t> IMPACT ANALYSIS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accent2"/>
          </a:solidFill>
          <a:ln>
            <a:noFill/>
          </a:ln>
          <a:effectLst/>
        </c:spPr>
      </c:pivotFmt>
    </c:pivotFmts>
    <c:plotArea>
      <c:layout>
        <c:manualLayout>
          <c:layoutTarget val="inner"/>
          <c:xMode val="edge"/>
          <c:yMode val="edge"/>
          <c:x val="0.20184048809108915"/>
          <c:y val="0.20067807875584392"/>
          <c:w val="0.7322461433543106"/>
          <c:h val="0.53394356518661346"/>
        </c:manualLayout>
      </c:layout>
      <c:barChart>
        <c:barDir val="col"/>
        <c:grouping val="clustered"/>
        <c:varyColors val="0"/>
        <c:ser>
          <c:idx val="0"/>
          <c:order val="0"/>
          <c:tx>
            <c:strRef>
              <c:f>'INSURANCE IMPACT ANALYSIS'!$B$3</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5894-4FF9-8054-8343149E98D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5894-4FF9-8054-8343149E98DE}"/>
              </c:ext>
            </c:extLst>
          </c:dPt>
          <c:cat>
            <c:strRef>
              <c:f>'INSURANCE IMPACT ANALYSIS'!$A$4:$A$5</c:f>
              <c:strCache>
                <c:ptCount val="2"/>
                <c:pt idx="0">
                  <c:v>Cash</c:v>
                </c:pt>
                <c:pt idx="1">
                  <c:v>Insurance</c:v>
                </c:pt>
              </c:strCache>
            </c:strRef>
          </c:cat>
          <c:val>
            <c:numRef>
              <c:f>'INSURANCE IMPACT ANALYSIS'!$B$4:$B$5</c:f>
              <c:numCache>
                <c:formatCode>0.00</c:formatCode>
                <c:ptCount val="2"/>
                <c:pt idx="0">
                  <c:v>55922.551020408166</c:v>
                </c:pt>
                <c:pt idx="1">
                  <c:v>64167.431372549021</c:v>
                </c:pt>
              </c:numCache>
            </c:numRef>
          </c:val>
          <c:extLst>
            <c:ext xmlns:c16="http://schemas.microsoft.com/office/drawing/2014/chart" uri="{C3380CC4-5D6E-409C-BE32-E72D297353CC}">
              <c16:uniqueId val="{00000004-5894-4FF9-8054-8343149E98DE}"/>
            </c:ext>
          </c:extLst>
        </c:ser>
        <c:dLbls>
          <c:showLegendKey val="0"/>
          <c:showVal val="0"/>
          <c:showCatName val="0"/>
          <c:showSerName val="0"/>
          <c:showPercent val="0"/>
          <c:showBubbleSize val="0"/>
        </c:dLbls>
        <c:gapWidth val="219"/>
        <c:overlap val="-27"/>
        <c:axId val="435980752"/>
        <c:axId val="488485712"/>
      </c:barChart>
      <c:catAx>
        <c:axId val="435980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payment</a:t>
                </a:r>
                <a:r>
                  <a:rPr lang="en-IN" baseline="0"/>
                  <a:t> mode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85712"/>
        <c:crosses val="autoZero"/>
        <c:auto val="1"/>
        <c:lblAlgn val="ctr"/>
        <c:lblOffset val="100"/>
        <c:noMultiLvlLbl val="0"/>
      </c:catAx>
      <c:valAx>
        <c:axId val="488485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cost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98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2026.xlsx]MALE VS FEMALE!PivotTable4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Male</a:t>
            </a:r>
            <a:r>
              <a:rPr lang="en-US" b="1" u="sng" baseline="0"/>
              <a:t> Vs Female</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0.15277777777777787"/>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dLbl>
          <c:idx val="0"/>
          <c:layout>
            <c:manualLayout>
              <c:x val="0.12638888888888883"/>
              <c:y val="-4.6296296296296398E-2"/>
            </c:manualLayout>
          </c:layout>
          <c:tx>
            <c:rich>
              <a:bodyPr rot="0" spcFirstLastPara="1" vertOverflow="clip" horzOverflow="clip" vert="horz" wrap="square" lIns="38100" tIns="19050" rIns="38100" bIns="19050" anchor="ctr" anchorCtr="0">
                <a:spAutoFit/>
              </a:bodyPr>
              <a:lstStyle/>
              <a:p>
                <a:pPr algn="ctr" rtl="0">
                  <a:defRPr lang="en-US" sz="1050" b="1" i="0" u="none" strike="noStrike" kern="1200" baseline="0">
                    <a:solidFill>
                      <a:schemeClr val="bg1"/>
                    </a:solidFill>
                    <a:latin typeface="+mn-lt"/>
                    <a:ea typeface="+mn-ea"/>
                    <a:cs typeface="+mn-cs"/>
                  </a:defRPr>
                </a:pPr>
                <a:r>
                  <a:rPr lang="en-US" sz="1050" b="1" i="0" u="none" strike="noStrike" kern="1200" baseline="0">
                    <a:solidFill>
                      <a:schemeClr val="bg1"/>
                    </a:solidFill>
                    <a:latin typeface="+mn-lt"/>
                    <a:ea typeface="+mn-ea"/>
                    <a:cs typeface="+mn-cs"/>
                  </a:rPr>
                  <a:t>Male
</a:t>
                </a:r>
                <a:fld id="{4E0B093D-B697-4850-8250-FE837225B2A6}" type="PERCENTAGE">
                  <a:rPr lang="en-US" sz="1050" b="1" i="0" u="none" strike="noStrike" kern="1200" baseline="0">
                    <a:solidFill>
                      <a:schemeClr val="bg1"/>
                    </a:solidFill>
                    <a:latin typeface="+mn-lt"/>
                    <a:ea typeface="+mn-ea"/>
                    <a:cs typeface="+mn-cs"/>
                  </a:rPr>
                  <a:pPr algn="ctr" rtl="0">
                    <a:defRPr lang="en-US" sz="1050" b="1">
                      <a:solidFill>
                        <a:schemeClr val="bg1"/>
                      </a:solidFill>
                    </a:defRPr>
                  </a:pPr>
                  <a:t>[PERCENTAGE]</a:t>
                </a:fld>
                <a:endParaRPr lang="en-US" sz="1050" b="1" i="0" u="none" strike="noStrike" kern="1200" baseline="0">
                  <a:solidFill>
                    <a:schemeClr val="bg1"/>
                  </a:solidFill>
                  <a:latin typeface="+mn-lt"/>
                  <a:ea typeface="+mn-ea"/>
                  <a:cs typeface="+mn-cs"/>
                </a:endParaRPr>
              </a:p>
            </c:rich>
          </c:tx>
          <c:spPr>
            <a:xfrm>
              <a:off x="584783" y="1433381"/>
              <a:ext cx="506069" cy="356057"/>
            </a:xfrm>
            <a:noFill/>
            <a:ln>
              <a:noFill/>
            </a:ln>
            <a:effectLst/>
          </c:spPr>
          <c:txPr>
            <a:bodyPr rot="0" spcFirstLastPara="1" vertOverflow="clip" horzOverflow="clip" vert="horz" wrap="square" lIns="38100" tIns="19050" rIns="38100" bIns="19050" anchor="ctr" anchorCtr="0">
              <a:spAutoFit/>
            </a:bodyPr>
            <a:lstStyle/>
            <a:p>
              <a:pPr algn="ctr" rtl="0">
                <a:defRPr lang="en-US"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8873"/>
                    <a:gd name="adj2" fmla="val 66191"/>
                  </a:avLst>
                </a:prstGeom>
                <a:noFill/>
                <a:ln>
                  <a:noFill/>
                </a:ln>
              </c15:spPr>
              <c15:layout>
                <c:manualLayout>
                  <c:w val="0.13750174978127733"/>
                  <c:h val="0.13388743073782441"/>
                </c:manualLayout>
              </c15:layout>
              <c15:dlblFieldTable/>
              <c15:showDataLabelsRange val="0"/>
            </c:ext>
          </c:extLst>
        </c:dLbl>
      </c:pivotFmt>
    </c:pivotFmts>
    <c:plotArea>
      <c:layout/>
      <c:pieChart>
        <c:varyColors val="1"/>
        <c:ser>
          <c:idx val="0"/>
          <c:order val="0"/>
          <c:tx>
            <c:strRef>
              <c:f>'MALE VS FEMALE'!$B$3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2-C734-49CD-82C0-694BE765968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C734-49CD-82C0-694BE7659684}"/>
              </c:ext>
            </c:extLst>
          </c:dPt>
          <c:dLbls>
            <c:dLbl>
              <c:idx val="0"/>
              <c:layout>
                <c:manualLayout>
                  <c:x val="-0.15277777777777787"/>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C734-49CD-82C0-694BE7659684}"/>
                </c:ext>
              </c:extLst>
            </c:dLbl>
            <c:dLbl>
              <c:idx val="1"/>
              <c:layout>
                <c:manualLayout>
                  <c:x val="0.12638888888888883"/>
                  <c:y val="-4.6296296296296398E-2"/>
                </c:manualLayout>
              </c:layout>
              <c:tx>
                <c:rich>
                  <a:bodyPr rot="0" spcFirstLastPara="1" vertOverflow="clip" horzOverflow="clip" vert="horz" wrap="square" lIns="38100" tIns="19050" rIns="38100" bIns="19050" anchor="ctr" anchorCtr="0">
                    <a:spAutoFit/>
                  </a:bodyPr>
                  <a:lstStyle/>
                  <a:p>
                    <a:pPr algn="ctr" rtl="0">
                      <a:defRPr lang="en-US" sz="1050" b="1" i="0" u="none" strike="noStrike" kern="1200" baseline="0">
                        <a:solidFill>
                          <a:schemeClr val="bg1"/>
                        </a:solidFill>
                        <a:latin typeface="+mn-lt"/>
                        <a:ea typeface="+mn-ea"/>
                        <a:cs typeface="+mn-cs"/>
                      </a:defRPr>
                    </a:pPr>
                    <a:r>
                      <a:rPr lang="en-US" sz="1050" b="1" i="0" u="none" strike="noStrike" kern="1200" baseline="0">
                        <a:solidFill>
                          <a:schemeClr val="bg1"/>
                        </a:solidFill>
                        <a:latin typeface="+mn-lt"/>
                        <a:ea typeface="+mn-ea"/>
                        <a:cs typeface="+mn-cs"/>
                      </a:rPr>
                      <a:t>Male
</a:t>
                    </a:r>
                    <a:fld id="{4E0B093D-B697-4850-8250-FE837225B2A6}" type="PERCENTAGE">
                      <a:rPr lang="en-US" sz="1050" b="1" i="0" u="none" strike="noStrike" kern="1200" baseline="0">
                        <a:solidFill>
                          <a:schemeClr val="bg1"/>
                        </a:solidFill>
                        <a:latin typeface="+mn-lt"/>
                        <a:ea typeface="+mn-ea"/>
                        <a:cs typeface="+mn-cs"/>
                      </a:rPr>
                      <a:pPr algn="ctr" rtl="0">
                        <a:defRPr lang="en-US" sz="1050" b="1">
                          <a:solidFill>
                            <a:schemeClr val="bg1"/>
                          </a:solidFill>
                        </a:defRPr>
                      </a:pPr>
                      <a:t>[PERCENTAGE]</a:t>
                    </a:fld>
                    <a:endParaRPr lang="en-US" sz="1050" b="1" i="0" u="none" strike="noStrike" kern="1200" baseline="0">
                      <a:solidFill>
                        <a:schemeClr val="bg1"/>
                      </a:solidFill>
                      <a:latin typeface="+mn-lt"/>
                      <a:ea typeface="+mn-ea"/>
                      <a:cs typeface="+mn-cs"/>
                    </a:endParaRPr>
                  </a:p>
                </c:rich>
              </c:tx>
              <c:spPr>
                <a:xfrm>
                  <a:off x="584783" y="1433381"/>
                  <a:ext cx="506069" cy="356057"/>
                </a:xfrm>
                <a:noFill/>
                <a:ln>
                  <a:noFill/>
                </a:ln>
                <a:effectLst/>
              </c:spPr>
              <c:txPr>
                <a:bodyPr rot="0" spcFirstLastPara="1" vertOverflow="clip" horzOverflow="clip" vert="horz" wrap="square" lIns="38100" tIns="19050" rIns="38100" bIns="19050" anchor="ctr" anchorCtr="0">
                  <a:spAutoFit/>
                </a:bodyPr>
                <a:lstStyle/>
                <a:p>
                  <a:pPr algn="ctr" rtl="0">
                    <a:defRPr lang="en-US"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8873"/>
                        <a:gd name="adj2" fmla="val 66191"/>
                      </a:avLst>
                    </a:prstGeom>
                    <a:noFill/>
                    <a:ln>
                      <a:noFill/>
                    </a:ln>
                  </c15:spPr>
                  <c15:layout>
                    <c:manualLayout>
                      <c:w val="0.13750174978127733"/>
                      <c:h val="0.13388743073782441"/>
                    </c:manualLayout>
                  </c15:layout>
                  <c15:dlblFieldTable/>
                  <c15:showDataLabelsRange val="0"/>
                </c:ext>
                <c:ext xmlns:c16="http://schemas.microsoft.com/office/drawing/2014/chart" uri="{C3380CC4-5D6E-409C-BE32-E72D297353CC}">
                  <c16:uniqueId val="{00000003-C734-49CD-82C0-694BE7659684}"/>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'MALE VS FEMALE'!$A$4:$A$5</c:f>
              <c:strCache>
                <c:ptCount val="2"/>
                <c:pt idx="0">
                  <c:v>Female</c:v>
                </c:pt>
                <c:pt idx="1">
                  <c:v>Male</c:v>
                </c:pt>
              </c:strCache>
            </c:strRef>
          </c:cat>
          <c:val>
            <c:numRef>
              <c:f>'MALE VS FEMALE'!$B$4:$B$5</c:f>
              <c:numCache>
                <c:formatCode>General</c:formatCode>
                <c:ptCount val="2"/>
                <c:pt idx="0">
                  <c:v>43</c:v>
                </c:pt>
                <c:pt idx="1">
                  <c:v>57</c:v>
                </c:pt>
              </c:numCache>
            </c:numRef>
          </c:val>
          <c:extLst>
            <c:ext xmlns:c16="http://schemas.microsoft.com/office/drawing/2014/chart" uri="{C3380CC4-5D6E-409C-BE32-E72D297353CC}">
              <c16:uniqueId val="{00000000-C734-49CD-82C0-694BE7659684}"/>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810598630687178"/>
          <c:y val="4.7082604257801114E-2"/>
          <c:w val="0.24183456160506628"/>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2026.xlsx]AVG STAYS!PivotTable5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Average</a:t>
            </a:r>
            <a:r>
              <a:rPr lang="en-US" b="1" u="sng" baseline="0"/>
              <a:t> stays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STAYS'!$B$3</c:f>
              <c:strCache>
                <c:ptCount val="1"/>
                <c:pt idx="0">
                  <c:v>Total</c:v>
                </c:pt>
              </c:strCache>
            </c:strRef>
          </c:tx>
          <c:spPr>
            <a:solidFill>
              <a:schemeClr val="accent2"/>
            </a:solidFill>
            <a:ln>
              <a:noFill/>
            </a:ln>
            <a:effectLst/>
          </c:spPr>
          <c:invertIfNegative val="0"/>
          <c:cat>
            <c:strRef>
              <c:f>'AVG STAYS'!$A$4:$A$6</c:f>
              <c:strCache>
                <c:ptCount val="3"/>
                <c:pt idx="0">
                  <c:v>Acute_pt.</c:v>
                </c:pt>
                <c:pt idx="1">
                  <c:v>Chronic_pt.</c:v>
                </c:pt>
                <c:pt idx="2">
                  <c:v>Intermediate_pt.</c:v>
                </c:pt>
              </c:strCache>
            </c:strRef>
          </c:cat>
          <c:val>
            <c:numRef>
              <c:f>'AVG STAYS'!$B$4:$B$6</c:f>
              <c:numCache>
                <c:formatCode>General</c:formatCode>
                <c:ptCount val="3"/>
                <c:pt idx="0">
                  <c:v>13</c:v>
                </c:pt>
                <c:pt idx="1">
                  <c:v>58</c:v>
                </c:pt>
                <c:pt idx="2">
                  <c:v>29</c:v>
                </c:pt>
              </c:numCache>
            </c:numRef>
          </c:val>
          <c:extLst>
            <c:ext xmlns:c16="http://schemas.microsoft.com/office/drawing/2014/chart" uri="{C3380CC4-5D6E-409C-BE32-E72D297353CC}">
              <c16:uniqueId val="{00000000-6675-4AB6-B8E1-AD6EEAF868D7}"/>
            </c:ext>
          </c:extLst>
        </c:ser>
        <c:dLbls>
          <c:showLegendKey val="0"/>
          <c:showVal val="0"/>
          <c:showCatName val="0"/>
          <c:showSerName val="0"/>
          <c:showPercent val="0"/>
          <c:showBubbleSize val="0"/>
        </c:dLbls>
        <c:gapWidth val="219"/>
        <c:overlap val="-27"/>
        <c:axId val="228402048"/>
        <c:axId val="228381408"/>
      </c:barChart>
      <c:catAx>
        <c:axId val="22840204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Patients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381408"/>
        <c:crosses val="autoZero"/>
        <c:auto val="1"/>
        <c:lblAlgn val="ctr"/>
        <c:lblOffset val="100"/>
        <c:noMultiLvlLbl val="0"/>
      </c:catAx>
      <c:valAx>
        <c:axId val="22838140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Duration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40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2026.xlsx]Avg stay VS revenue!PivotTable7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Departments</a:t>
            </a:r>
            <a:r>
              <a:rPr lang="en-US" baseline="0"/>
              <a:t> vs days of stays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stay VS revenue'!$B$3</c:f>
              <c:strCache>
                <c:ptCount val="1"/>
                <c:pt idx="0">
                  <c:v>Total</c:v>
                </c:pt>
              </c:strCache>
            </c:strRef>
          </c:tx>
          <c:spPr>
            <a:solidFill>
              <a:schemeClr val="accent2"/>
            </a:solidFill>
            <a:ln>
              <a:noFill/>
            </a:ln>
            <a:effectLst/>
          </c:spPr>
          <c:invertIfNegative val="0"/>
          <c:cat>
            <c:strRef>
              <c:f>'Avg stay VS revenue'!$A$4:$A$8</c:f>
              <c:strCache>
                <c:ptCount val="5"/>
                <c:pt idx="0">
                  <c:v>Cardiology</c:v>
                </c:pt>
                <c:pt idx="1">
                  <c:v>General</c:v>
                </c:pt>
                <c:pt idx="2">
                  <c:v>Gynecology</c:v>
                </c:pt>
                <c:pt idx="3">
                  <c:v>Neurology</c:v>
                </c:pt>
                <c:pt idx="4">
                  <c:v>Orthopedics</c:v>
                </c:pt>
              </c:strCache>
            </c:strRef>
          </c:cat>
          <c:val>
            <c:numRef>
              <c:f>'Avg stay VS revenue'!$B$4:$B$8</c:f>
              <c:numCache>
                <c:formatCode>General</c:formatCode>
                <c:ptCount val="5"/>
                <c:pt idx="0">
                  <c:v>82</c:v>
                </c:pt>
                <c:pt idx="1">
                  <c:v>132</c:v>
                </c:pt>
                <c:pt idx="2">
                  <c:v>107</c:v>
                </c:pt>
                <c:pt idx="3">
                  <c:v>96</c:v>
                </c:pt>
                <c:pt idx="4">
                  <c:v>98</c:v>
                </c:pt>
              </c:numCache>
            </c:numRef>
          </c:val>
          <c:extLst>
            <c:ext xmlns:c16="http://schemas.microsoft.com/office/drawing/2014/chart" uri="{C3380CC4-5D6E-409C-BE32-E72D297353CC}">
              <c16:uniqueId val="{00000000-1534-4093-B970-CA9EE32E77F2}"/>
            </c:ext>
          </c:extLst>
        </c:ser>
        <c:dLbls>
          <c:showLegendKey val="0"/>
          <c:showVal val="0"/>
          <c:showCatName val="0"/>
          <c:showSerName val="0"/>
          <c:showPercent val="0"/>
          <c:showBubbleSize val="0"/>
        </c:dLbls>
        <c:gapWidth val="219"/>
        <c:overlap val="-27"/>
        <c:axId val="339452160"/>
        <c:axId val="339452640"/>
      </c:barChart>
      <c:catAx>
        <c:axId val="339452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departments</a:t>
                </a:r>
              </a:p>
            </c:rich>
          </c:tx>
          <c:layout>
            <c:manualLayout>
              <c:xMode val="edge"/>
              <c:yMode val="edge"/>
              <c:x val="0.37779210428585142"/>
              <c:y val="0.874050743657042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52640"/>
        <c:crosses val="autoZero"/>
        <c:auto val="1"/>
        <c:lblAlgn val="ctr"/>
        <c:lblOffset val="100"/>
        <c:noMultiLvlLbl val="0"/>
      </c:catAx>
      <c:valAx>
        <c:axId val="339452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r>
                  <a:rPr lang="en-US" baseline="0"/>
                  <a:t> of stays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52160"/>
        <c:crosses val="autoZero"/>
        <c:crossBetween val="between"/>
      </c:valAx>
      <c:spPr>
        <a:noFill/>
        <a:ln>
          <a:noFill/>
        </a:ln>
        <a:effectLst/>
      </c:spPr>
    </c:plotArea>
    <c:legend>
      <c:legendPos val="r"/>
      <c:layout>
        <c:manualLayout>
          <c:xMode val="edge"/>
          <c:yMode val="edge"/>
          <c:x val="0.67970297462817153"/>
          <c:y val="0.15212999416739573"/>
          <c:w val="9.1167707772617457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2026.xlsx]revenue vs patient!PivotTable8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Patients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6944444444444445"/>
              <c:y val="-0.1388888888888888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
              <c:y val="8.273792327295145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13055555555555556"/>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dLbl>
          <c:idx val="0"/>
          <c:layout>
            <c:manualLayout>
              <c:x val="0.13333333333333333"/>
              <c:y val="-0.1066136151631574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1"/>
              <c:y val="-0.2777777777777778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346019247594047E-2"/>
          <c:y val="0.20338338083677932"/>
          <c:w val="0.65151159230096234"/>
          <c:h val="0.66745953630796151"/>
        </c:manualLayout>
      </c:layout>
      <c:pie3DChart>
        <c:varyColors val="1"/>
        <c:ser>
          <c:idx val="0"/>
          <c:order val="0"/>
          <c:tx>
            <c:strRef>
              <c:f>'revenue vs patient'!$B$3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EFD0-41CD-89E1-678F6A22429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EFD0-41CD-89E1-678F6A22429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6-EFD0-41CD-89E1-678F6A22429A}"/>
              </c:ext>
            </c:extLst>
          </c:dPt>
          <c:dPt>
            <c:idx val="3"/>
            <c:bubble3D val="0"/>
            <c:explosion val="15"/>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EFD0-41CD-89E1-678F6A22429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EFD0-41CD-89E1-678F6A22429A}"/>
              </c:ext>
            </c:extLst>
          </c:dPt>
          <c:dLbls>
            <c:dLbl>
              <c:idx val="0"/>
              <c:layout>
                <c:manualLayout>
                  <c:x val="-0.1"/>
                  <c:y val="8.273792327295145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D0-41CD-89E1-678F6A22429A}"/>
                </c:ext>
              </c:extLst>
            </c:dLbl>
            <c:dLbl>
              <c:idx val="1"/>
              <c:layout>
                <c:manualLayout>
                  <c:x val="-0.16944444444444445"/>
                  <c:y val="-0.138888888888888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FD0-41CD-89E1-678F6A22429A}"/>
                </c:ext>
              </c:extLst>
            </c:dLbl>
            <c:dLbl>
              <c:idx val="2"/>
              <c:layout>
                <c:manualLayout>
                  <c:x val="0.1"/>
                  <c:y val="-0.277777777777777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FD0-41CD-89E1-678F6A22429A}"/>
                </c:ext>
              </c:extLst>
            </c:dLbl>
            <c:dLbl>
              <c:idx val="3"/>
              <c:layout>
                <c:manualLayout>
                  <c:x val="0.13333333333333333"/>
                  <c:y val="-0.1066136151631574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FD0-41CD-89E1-678F6A22429A}"/>
                </c:ext>
              </c:extLst>
            </c:dLbl>
            <c:dLbl>
              <c:idx val="4"/>
              <c:layout>
                <c:manualLayout>
                  <c:x val="0.13055555555555556"/>
                  <c:y val="9.722222222222222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FD0-41CD-89E1-678F6A22429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'revenue vs patient'!$A$4:$A$8</c:f>
              <c:strCache>
                <c:ptCount val="5"/>
                <c:pt idx="0">
                  <c:v>Cardiology</c:v>
                </c:pt>
                <c:pt idx="1">
                  <c:v>General</c:v>
                </c:pt>
                <c:pt idx="2">
                  <c:v>Gynecology</c:v>
                </c:pt>
                <c:pt idx="3">
                  <c:v>Neurology</c:v>
                </c:pt>
                <c:pt idx="4">
                  <c:v>Orthopedics</c:v>
                </c:pt>
              </c:strCache>
            </c:strRef>
          </c:cat>
          <c:val>
            <c:numRef>
              <c:f>'revenue vs patient'!$B$4:$B$8</c:f>
              <c:numCache>
                <c:formatCode>0.00%</c:formatCode>
                <c:ptCount val="5"/>
                <c:pt idx="0">
                  <c:v>0.16973431764266031</c:v>
                </c:pt>
                <c:pt idx="1">
                  <c:v>0.28442687731258809</c:v>
                </c:pt>
                <c:pt idx="2">
                  <c:v>0.18460423394044384</c:v>
                </c:pt>
                <c:pt idx="3">
                  <c:v>0.20391704685913786</c:v>
                </c:pt>
                <c:pt idx="4">
                  <c:v>0.15731752424516993</c:v>
                </c:pt>
              </c:numCache>
            </c:numRef>
          </c:val>
          <c:extLst>
            <c:ext xmlns:c16="http://schemas.microsoft.com/office/drawing/2014/chart" uri="{C3380CC4-5D6E-409C-BE32-E72D297353CC}">
              <c16:uniqueId val="{00000000-EFD0-41CD-89E1-678F6A22429A}"/>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2026.xlsx]disease vs cost !PivotTable9</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Disease</a:t>
            </a:r>
            <a:r>
              <a:rPr lang="en-US" b="1" u="sng" baseline="0"/>
              <a:t> vs cost Analysis</a:t>
            </a:r>
            <a:endParaRPr lang="en-US"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'disease vs cost '!$B$3</c:f>
              <c:strCache>
                <c:ptCount val="1"/>
                <c:pt idx="0">
                  <c:v>Total</c:v>
                </c:pt>
              </c:strCache>
            </c:strRef>
          </c:tx>
          <c:spPr>
            <a:solidFill>
              <a:schemeClr val="accent2"/>
            </a:solidFill>
            <a:ln>
              <a:noFill/>
            </a:ln>
            <a:effectLst/>
            <a:sp3d/>
          </c:spPr>
          <c:invertIfNegative val="0"/>
          <c:cat>
            <c:strRef>
              <c:f>'disease vs cost '!$A$4:$A$13</c:f>
              <c:strCache>
                <c:ptCount val="10"/>
                <c:pt idx="0">
                  <c:v>BP</c:v>
                </c:pt>
                <c:pt idx="1">
                  <c:v>Fever</c:v>
                </c:pt>
                <c:pt idx="2">
                  <c:v>Fracture</c:v>
                </c:pt>
                <c:pt idx="3">
                  <c:v>Heart Disease</c:v>
                </c:pt>
                <c:pt idx="4">
                  <c:v>Infection</c:v>
                </c:pt>
                <c:pt idx="5">
                  <c:v>Injury</c:v>
                </c:pt>
                <c:pt idx="6">
                  <c:v>Paralysis</c:v>
                </c:pt>
                <c:pt idx="7">
                  <c:v>PCOS</c:v>
                </c:pt>
                <c:pt idx="8">
                  <c:v>Pregnancy</c:v>
                </c:pt>
                <c:pt idx="9">
                  <c:v>Stroke</c:v>
                </c:pt>
              </c:strCache>
            </c:strRef>
          </c:cat>
          <c:val>
            <c:numRef>
              <c:f>'disease vs cost '!$B$4:$B$13</c:f>
              <c:numCache>
                <c:formatCode>0.00%</c:formatCode>
                <c:ptCount val="10"/>
                <c:pt idx="0">
                  <c:v>0.10953617849022011</c:v>
                </c:pt>
                <c:pt idx="1">
                  <c:v>0.18501702384136096</c:v>
                </c:pt>
                <c:pt idx="2">
                  <c:v>7.9760754823421723E-2</c:v>
                </c:pt>
                <c:pt idx="3">
                  <c:v>7.7452490909308627E-2</c:v>
                </c:pt>
                <c:pt idx="4">
                  <c:v>0.10099365614102314</c:v>
                </c:pt>
                <c:pt idx="5">
                  <c:v>5.1097801602729136E-2</c:v>
                </c:pt>
                <c:pt idx="6">
                  <c:v>0.1028956163774809</c:v>
                </c:pt>
                <c:pt idx="7">
                  <c:v>6.8842112685988291E-2</c:v>
                </c:pt>
                <c:pt idx="8">
                  <c:v>8.5607170370133837E-2</c:v>
                </c:pt>
                <c:pt idx="9">
                  <c:v>0.1387971947583333</c:v>
                </c:pt>
              </c:numCache>
            </c:numRef>
          </c:val>
          <c:extLst>
            <c:ext xmlns:c16="http://schemas.microsoft.com/office/drawing/2014/chart" uri="{C3380CC4-5D6E-409C-BE32-E72D297353CC}">
              <c16:uniqueId val="{00000000-42F2-454A-9700-1B183F74025D}"/>
            </c:ext>
          </c:extLst>
        </c:ser>
        <c:dLbls>
          <c:showLegendKey val="0"/>
          <c:showVal val="0"/>
          <c:showCatName val="0"/>
          <c:showSerName val="0"/>
          <c:showPercent val="0"/>
          <c:showBubbleSize val="0"/>
        </c:dLbls>
        <c:gapWidth val="150"/>
        <c:shape val="box"/>
        <c:axId val="494263760"/>
        <c:axId val="494260400"/>
        <c:axId val="0"/>
      </c:bar3DChart>
      <c:catAx>
        <c:axId val="49426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Disease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4260400"/>
        <c:crosses val="autoZero"/>
        <c:auto val="1"/>
        <c:lblAlgn val="ctr"/>
        <c:lblOffset val="100"/>
        <c:noMultiLvlLbl val="0"/>
      </c:catAx>
      <c:valAx>
        <c:axId val="4942604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Treatment</a:t>
                </a:r>
                <a:r>
                  <a:rPr lang="en-IN" baseline="0"/>
                  <a:t> cost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26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2026.xlsx]high risk patient!PivotTable10</c:name>
    <c:fmtId val="0"/>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High</a:t>
            </a:r>
            <a:r>
              <a:rPr lang="en-US" b="1" u="sng" baseline="0"/>
              <a:t> risk pt </a:t>
            </a:r>
            <a:endParaRPr lang="en-US"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risk patient'!$B$3</c:f>
              <c:strCache>
                <c:ptCount val="1"/>
                <c:pt idx="0">
                  <c:v>Total</c:v>
                </c:pt>
              </c:strCache>
            </c:strRef>
          </c:tx>
          <c:spPr>
            <a:solidFill>
              <a:schemeClr val="accent2"/>
            </a:solidFill>
            <a:ln>
              <a:noFill/>
            </a:ln>
            <a:effectLst/>
          </c:spPr>
          <c:invertIfNegative val="0"/>
          <c:cat>
            <c:strRef>
              <c:f>'high risk patient'!$A$4:$A$6</c:f>
              <c:strCache>
                <c:ptCount val="3"/>
                <c:pt idx="0">
                  <c:v>Adult</c:v>
                </c:pt>
                <c:pt idx="1">
                  <c:v>Children</c:v>
                </c:pt>
                <c:pt idx="2">
                  <c:v>Elder</c:v>
                </c:pt>
              </c:strCache>
            </c:strRef>
          </c:cat>
          <c:val>
            <c:numRef>
              <c:f>'high risk patient'!$B$4:$B$6</c:f>
              <c:numCache>
                <c:formatCode>General</c:formatCode>
                <c:ptCount val="3"/>
                <c:pt idx="0">
                  <c:v>67</c:v>
                </c:pt>
                <c:pt idx="1">
                  <c:v>18</c:v>
                </c:pt>
                <c:pt idx="2">
                  <c:v>15</c:v>
                </c:pt>
              </c:numCache>
            </c:numRef>
          </c:val>
          <c:extLst>
            <c:ext xmlns:c16="http://schemas.microsoft.com/office/drawing/2014/chart" uri="{C3380CC4-5D6E-409C-BE32-E72D297353CC}">
              <c16:uniqueId val="{00000000-8FAE-4129-8FBB-3825410069ED}"/>
            </c:ext>
          </c:extLst>
        </c:ser>
        <c:dLbls>
          <c:showLegendKey val="0"/>
          <c:showVal val="0"/>
          <c:showCatName val="0"/>
          <c:showSerName val="0"/>
          <c:showPercent val="0"/>
          <c:showBubbleSize val="0"/>
        </c:dLbls>
        <c:gapWidth val="219"/>
        <c:overlap val="-27"/>
        <c:axId val="493211808"/>
        <c:axId val="493210368"/>
      </c:barChart>
      <c:catAx>
        <c:axId val="49321180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Age</a:t>
                </a:r>
                <a:r>
                  <a:rPr lang="en-IN" b="1" baseline="0"/>
                  <a:t> group</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210368"/>
        <c:crosses val="autoZero"/>
        <c:auto val="1"/>
        <c:lblAlgn val="ctr"/>
        <c:lblOffset val="100"/>
        <c:noMultiLvlLbl val="0"/>
      </c:catAx>
      <c:valAx>
        <c:axId val="49321036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Length</a:t>
                </a:r>
                <a:r>
                  <a:rPr lang="en-IN" b="1" baseline="0"/>
                  <a:t> of stays </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21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2026.xlsx]city vs revenue !PivotTable11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city</a:t>
            </a:r>
            <a:r>
              <a:rPr lang="en-US" b="1" u="sng" baseline="0"/>
              <a:t> vs revenue</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9659558180227482"/>
              <c:y val="-0.2540722513852435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'city vs revenue '!$B$3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E7-44D8-82EE-9D9A4980222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E7-44D8-82EE-9D9A4980222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2-A7B3-4089-98CE-28C3F89C648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E7-44D8-82EE-9D9A4980222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9E7-44D8-82EE-9D9A49802220}"/>
              </c:ext>
            </c:extLst>
          </c:dPt>
          <c:dLbls>
            <c:dLbl>
              <c:idx val="2"/>
              <c:layout>
                <c:manualLayout>
                  <c:x val="-0.19659558180227482"/>
                  <c:y val="-0.2540722513852435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7B3-4089-98CE-28C3F89C648B}"/>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'city vs revenue '!$A$4:$A$8</c:f>
              <c:strCache>
                <c:ptCount val="5"/>
                <c:pt idx="0">
                  <c:v>Bangalore</c:v>
                </c:pt>
                <c:pt idx="1">
                  <c:v>Delhi</c:v>
                </c:pt>
                <c:pt idx="2">
                  <c:v>Kanpur</c:v>
                </c:pt>
                <c:pt idx="3">
                  <c:v>Lucknow</c:v>
                </c:pt>
                <c:pt idx="4">
                  <c:v>Mumbai</c:v>
                </c:pt>
              </c:strCache>
            </c:strRef>
          </c:cat>
          <c:val>
            <c:numRef>
              <c:f>'city vs revenue '!$B$4:$B$8</c:f>
              <c:numCache>
                <c:formatCode>0.00%</c:formatCode>
                <c:ptCount val="5"/>
                <c:pt idx="0">
                  <c:v>0.14443305751916263</c:v>
                </c:pt>
                <c:pt idx="1">
                  <c:v>9.8808297842050155E-2</c:v>
                </c:pt>
                <c:pt idx="2">
                  <c:v>0.26060946549528802</c:v>
                </c:pt>
                <c:pt idx="3">
                  <c:v>0.21219330142776743</c:v>
                </c:pt>
                <c:pt idx="4">
                  <c:v>0.28395587771573177</c:v>
                </c:pt>
              </c:numCache>
            </c:numRef>
          </c:val>
          <c:extLst>
            <c:ext xmlns:c16="http://schemas.microsoft.com/office/drawing/2014/chart" uri="{C3380CC4-5D6E-409C-BE32-E72D297353CC}">
              <c16:uniqueId val="{00000000-A7B3-4089-98CE-28C3F89C648B}"/>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2026.xlsx]INSURANCE IMPACT ANALYSIS!PivotTable13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INSURANCE</a:t>
            </a:r>
            <a:r>
              <a:rPr lang="en-US" b="1" u="sng" baseline="0"/>
              <a:t> IMPACT ANALYSIS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s>
    <c:plotArea>
      <c:layout/>
      <c:barChart>
        <c:barDir val="col"/>
        <c:grouping val="clustered"/>
        <c:varyColors val="0"/>
        <c:ser>
          <c:idx val="0"/>
          <c:order val="0"/>
          <c:tx>
            <c:strRef>
              <c:f>'INSURANCE IMPACT ANALYSIS'!$B$3</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A818-4706-95A2-F967652430F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A818-4706-95A2-F967652430FE}"/>
              </c:ext>
            </c:extLst>
          </c:dPt>
          <c:cat>
            <c:strRef>
              <c:f>'INSURANCE IMPACT ANALYSIS'!$A$4:$A$5</c:f>
              <c:strCache>
                <c:ptCount val="2"/>
                <c:pt idx="0">
                  <c:v>Cash</c:v>
                </c:pt>
                <c:pt idx="1">
                  <c:v>Insurance</c:v>
                </c:pt>
              </c:strCache>
            </c:strRef>
          </c:cat>
          <c:val>
            <c:numRef>
              <c:f>'INSURANCE IMPACT ANALYSIS'!$B$4:$B$5</c:f>
              <c:numCache>
                <c:formatCode>0.00</c:formatCode>
                <c:ptCount val="2"/>
                <c:pt idx="0">
                  <c:v>55922.551020408166</c:v>
                </c:pt>
                <c:pt idx="1">
                  <c:v>64167.431372549021</c:v>
                </c:pt>
              </c:numCache>
            </c:numRef>
          </c:val>
          <c:extLst>
            <c:ext xmlns:c16="http://schemas.microsoft.com/office/drawing/2014/chart" uri="{C3380CC4-5D6E-409C-BE32-E72D297353CC}">
              <c16:uniqueId val="{00000000-A818-4706-95A2-F967652430FE}"/>
            </c:ext>
          </c:extLst>
        </c:ser>
        <c:dLbls>
          <c:showLegendKey val="0"/>
          <c:showVal val="0"/>
          <c:showCatName val="0"/>
          <c:showSerName val="0"/>
          <c:showPercent val="0"/>
          <c:showBubbleSize val="0"/>
        </c:dLbls>
        <c:gapWidth val="219"/>
        <c:overlap val="-27"/>
        <c:axId val="435980752"/>
        <c:axId val="488485712"/>
      </c:barChart>
      <c:catAx>
        <c:axId val="435980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payment</a:t>
                </a:r>
                <a:r>
                  <a:rPr lang="en-IN" baseline="0"/>
                  <a:t> mode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85712"/>
        <c:crosses val="autoZero"/>
        <c:auto val="1"/>
        <c:lblAlgn val="ctr"/>
        <c:lblOffset val="100"/>
        <c:noMultiLvlLbl val="0"/>
      </c:catAx>
      <c:valAx>
        <c:axId val="488485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cost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98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2026.xlsx]depart Vs pt!PivotTable2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a:t>
            </a:r>
            <a:r>
              <a:rPr lang="en-US" baseline="0"/>
              <a:t>. VS 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 Vs pt'!$B$3</c:f>
              <c:strCache>
                <c:ptCount val="1"/>
                <c:pt idx="0">
                  <c:v>Total</c:v>
                </c:pt>
              </c:strCache>
            </c:strRef>
          </c:tx>
          <c:spPr>
            <a:solidFill>
              <a:schemeClr val="accent2"/>
            </a:solidFill>
            <a:ln>
              <a:noFill/>
            </a:ln>
            <a:effectLst/>
          </c:spPr>
          <c:invertIfNegative val="0"/>
          <c:cat>
            <c:strRef>
              <c:f>'depart Vs pt'!$A$4:$A$8</c:f>
              <c:strCache>
                <c:ptCount val="5"/>
                <c:pt idx="0">
                  <c:v>Cardiology</c:v>
                </c:pt>
                <c:pt idx="1">
                  <c:v>General</c:v>
                </c:pt>
                <c:pt idx="2">
                  <c:v>Gynecology</c:v>
                </c:pt>
                <c:pt idx="3">
                  <c:v>Neurology</c:v>
                </c:pt>
                <c:pt idx="4">
                  <c:v>Orthopedics</c:v>
                </c:pt>
              </c:strCache>
            </c:strRef>
          </c:cat>
          <c:val>
            <c:numRef>
              <c:f>'depart Vs pt'!$B$4:$B$8</c:f>
              <c:numCache>
                <c:formatCode>General</c:formatCode>
                <c:ptCount val="5"/>
                <c:pt idx="0">
                  <c:v>18</c:v>
                </c:pt>
                <c:pt idx="1">
                  <c:v>25</c:v>
                </c:pt>
                <c:pt idx="2">
                  <c:v>20</c:v>
                </c:pt>
                <c:pt idx="3">
                  <c:v>19</c:v>
                </c:pt>
                <c:pt idx="4">
                  <c:v>18</c:v>
                </c:pt>
              </c:numCache>
            </c:numRef>
          </c:val>
          <c:extLst>
            <c:ext xmlns:c16="http://schemas.microsoft.com/office/drawing/2014/chart" uri="{C3380CC4-5D6E-409C-BE32-E72D297353CC}">
              <c16:uniqueId val="{00000000-D42C-4F39-B274-B1EA1CE4B0D4}"/>
            </c:ext>
          </c:extLst>
        </c:ser>
        <c:dLbls>
          <c:showLegendKey val="0"/>
          <c:showVal val="0"/>
          <c:showCatName val="0"/>
          <c:showSerName val="0"/>
          <c:showPercent val="0"/>
          <c:showBubbleSize val="0"/>
        </c:dLbls>
        <c:gapWidth val="219"/>
        <c:overlap val="-27"/>
        <c:axId val="326781664"/>
        <c:axId val="326757184"/>
      </c:barChart>
      <c:catAx>
        <c:axId val="326781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757184"/>
        <c:crosses val="autoZero"/>
        <c:auto val="1"/>
        <c:lblAlgn val="ctr"/>
        <c:lblOffset val="100"/>
        <c:noMultiLvlLbl val="0"/>
      </c:catAx>
      <c:valAx>
        <c:axId val="326757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PATIENTS</a:t>
                </a:r>
              </a:p>
            </c:rich>
          </c:tx>
          <c:layout>
            <c:manualLayout>
              <c:xMode val="edge"/>
              <c:yMode val="edge"/>
              <c:x val="2.2222222222222223E-2"/>
              <c:y val="0.389621974336541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78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7</xdr:col>
      <xdr:colOff>304800</xdr:colOff>
      <xdr:row>3</xdr:row>
      <xdr:rowOff>32658</xdr:rowOff>
    </xdr:from>
    <xdr:to>
      <xdr:col>12</xdr:col>
      <xdr:colOff>238397</xdr:colOff>
      <xdr:row>12</xdr:row>
      <xdr:rowOff>162198</xdr:rowOff>
    </xdr:to>
    <xdr:graphicFrame macro="">
      <xdr:nvGraphicFramePr>
        <xdr:cNvPr id="4" name="Chart 3">
          <a:extLst>
            <a:ext uri="{FF2B5EF4-FFF2-40B4-BE49-F238E27FC236}">
              <a16:creationId xmlns:a16="http://schemas.microsoft.com/office/drawing/2014/main" id="{CDD8205F-7283-4AD1-B4E9-B66CC90AA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141514</xdr:colOff>
      <xdr:row>3</xdr:row>
      <xdr:rowOff>0</xdr:rowOff>
    </xdr:from>
    <xdr:to>
      <xdr:col>7</xdr:col>
      <xdr:colOff>141513</xdr:colOff>
      <xdr:row>12</xdr:row>
      <xdr:rowOff>154576</xdr:rowOff>
    </xdr:to>
    <xdr:graphicFrame macro="">
      <xdr:nvGraphicFramePr>
        <xdr:cNvPr id="5" name="Chart 4">
          <a:extLst>
            <a:ext uri="{FF2B5EF4-FFF2-40B4-BE49-F238E27FC236}">
              <a16:creationId xmlns:a16="http://schemas.microsoft.com/office/drawing/2014/main" id="{545B14F0-EF6A-437D-B81A-254818A1A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532311</xdr:colOff>
      <xdr:row>3</xdr:row>
      <xdr:rowOff>54428</xdr:rowOff>
    </xdr:from>
    <xdr:to>
      <xdr:col>18</xdr:col>
      <xdr:colOff>105591</xdr:colOff>
      <xdr:row>13</xdr:row>
      <xdr:rowOff>1088</xdr:rowOff>
    </xdr:to>
    <xdr:graphicFrame macro="">
      <xdr:nvGraphicFramePr>
        <xdr:cNvPr id="6" name="Chart 5">
          <a:extLst>
            <a:ext uri="{FF2B5EF4-FFF2-40B4-BE49-F238E27FC236}">
              <a16:creationId xmlns:a16="http://schemas.microsoft.com/office/drawing/2014/main" id="{2766289B-AC95-4A5C-8024-2704CF23A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59870</xdr:colOff>
      <xdr:row>15</xdr:row>
      <xdr:rowOff>1090</xdr:rowOff>
    </xdr:from>
    <xdr:to>
      <xdr:col>7</xdr:col>
      <xdr:colOff>130629</xdr:colOff>
      <xdr:row>24</xdr:row>
      <xdr:rowOff>10886</xdr:rowOff>
    </xdr:to>
    <xdr:graphicFrame macro="">
      <xdr:nvGraphicFramePr>
        <xdr:cNvPr id="7" name="Chart 6">
          <a:extLst>
            <a:ext uri="{FF2B5EF4-FFF2-40B4-BE49-F238E27FC236}">
              <a16:creationId xmlns:a16="http://schemas.microsoft.com/office/drawing/2014/main" id="{CB1FE8DB-02CC-4848-AC68-8A4397330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377734</xdr:colOff>
      <xdr:row>14</xdr:row>
      <xdr:rowOff>152399</xdr:rowOff>
    </xdr:from>
    <xdr:to>
      <xdr:col>12</xdr:col>
      <xdr:colOff>217714</xdr:colOff>
      <xdr:row>24</xdr:row>
      <xdr:rowOff>63704</xdr:rowOff>
    </xdr:to>
    <xdr:graphicFrame macro="">
      <xdr:nvGraphicFramePr>
        <xdr:cNvPr id="8" name="Chart 7">
          <a:extLst>
            <a:ext uri="{FF2B5EF4-FFF2-40B4-BE49-F238E27FC236}">
              <a16:creationId xmlns:a16="http://schemas.microsoft.com/office/drawing/2014/main" id="{0E5CE2AE-7127-4C33-A760-3F6D344A8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21771</xdr:colOff>
      <xdr:row>14</xdr:row>
      <xdr:rowOff>111034</xdr:rowOff>
    </xdr:from>
    <xdr:to>
      <xdr:col>18</xdr:col>
      <xdr:colOff>304800</xdr:colOff>
      <xdr:row>24</xdr:row>
      <xdr:rowOff>32657</xdr:rowOff>
    </xdr:to>
    <xdr:graphicFrame macro="">
      <xdr:nvGraphicFramePr>
        <xdr:cNvPr id="10" name="Chart 9">
          <a:extLst>
            <a:ext uri="{FF2B5EF4-FFF2-40B4-BE49-F238E27FC236}">
              <a16:creationId xmlns:a16="http://schemas.microsoft.com/office/drawing/2014/main" id="{30861518-BDD0-4499-8167-B83108F7C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77410</xdr:colOff>
      <xdr:row>26</xdr:row>
      <xdr:rowOff>27818</xdr:rowOff>
    </xdr:from>
    <xdr:to>
      <xdr:col>18</xdr:col>
      <xdr:colOff>413657</xdr:colOff>
      <xdr:row>36</xdr:row>
      <xdr:rowOff>53219</xdr:rowOff>
    </xdr:to>
    <xdr:graphicFrame macro="">
      <xdr:nvGraphicFramePr>
        <xdr:cNvPr id="11" name="Chart 10">
          <a:extLst>
            <a:ext uri="{FF2B5EF4-FFF2-40B4-BE49-F238E27FC236}">
              <a16:creationId xmlns:a16="http://schemas.microsoft.com/office/drawing/2014/main" id="{569B3219-B5A8-45C4-990F-9F9009827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429381</xdr:colOff>
      <xdr:row>26</xdr:row>
      <xdr:rowOff>35075</xdr:rowOff>
    </xdr:from>
    <xdr:to>
      <xdr:col>12</xdr:col>
      <xdr:colOff>304800</xdr:colOff>
      <xdr:row>36</xdr:row>
      <xdr:rowOff>143934</xdr:rowOff>
    </xdr:to>
    <xdr:graphicFrame macro="">
      <xdr:nvGraphicFramePr>
        <xdr:cNvPr id="12" name="Chart 11">
          <a:extLst>
            <a:ext uri="{FF2B5EF4-FFF2-40B4-BE49-F238E27FC236}">
              <a16:creationId xmlns:a16="http://schemas.microsoft.com/office/drawing/2014/main" id="{68A2D460-4F25-4CDF-B1E2-C56417556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152400</xdr:colOff>
      <xdr:row>25</xdr:row>
      <xdr:rowOff>174172</xdr:rowOff>
    </xdr:from>
    <xdr:to>
      <xdr:col>7</xdr:col>
      <xdr:colOff>163286</xdr:colOff>
      <xdr:row>37</xdr:row>
      <xdr:rowOff>32658</xdr:rowOff>
    </xdr:to>
    <xdr:graphicFrame macro="">
      <xdr:nvGraphicFramePr>
        <xdr:cNvPr id="13" name="Chart 12">
          <a:extLst>
            <a:ext uri="{FF2B5EF4-FFF2-40B4-BE49-F238E27FC236}">
              <a16:creationId xmlns:a16="http://schemas.microsoft.com/office/drawing/2014/main" id="{A06D214A-DA8C-45CD-88F8-7E958019B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204652</xdr:colOff>
      <xdr:row>19</xdr:row>
      <xdr:rowOff>10886</xdr:rowOff>
    </xdr:from>
    <xdr:to>
      <xdr:col>21</xdr:col>
      <xdr:colOff>195943</xdr:colOff>
      <xdr:row>25</xdr:row>
      <xdr:rowOff>0</xdr:rowOff>
    </xdr:to>
    <mc:AlternateContent xmlns:mc="http://schemas.openxmlformats.org/markup-compatibility/2006" xmlns:a14="http://schemas.microsoft.com/office/drawing/2010/main">
      <mc:Choice Requires="a14">
        <xdr:graphicFrame macro="">
          <xdr:nvGraphicFramePr>
            <xdr:cNvPr id="14" name="Age Group">
              <a:extLst>
                <a:ext uri="{FF2B5EF4-FFF2-40B4-BE49-F238E27FC236}">
                  <a16:creationId xmlns:a16="http://schemas.microsoft.com/office/drawing/2014/main" id="{1FF32FA3-9069-F44F-5FD9-A88155695F1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1787052" y="3614057"/>
              <a:ext cx="1210491" cy="1099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597626</xdr:colOff>
      <xdr:row>26</xdr:row>
      <xdr:rowOff>54429</xdr:rowOff>
    </xdr:from>
    <xdr:to>
      <xdr:col>23</xdr:col>
      <xdr:colOff>566057</xdr:colOff>
      <xdr:row>37</xdr:row>
      <xdr:rowOff>139610</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EA70C444-604F-9009-F946-5D5ED78EAFC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399226" y="4953000"/>
              <a:ext cx="1187631" cy="2120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598714</xdr:colOff>
      <xdr:row>15</xdr:row>
      <xdr:rowOff>101237</xdr:rowOff>
    </xdr:from>
    <xdr:to>
      <xdr:col>23</xdr:col>
      <xdr:colOff>576943</xdr:colOff>
      <xdr:row>25</xdr:row>
      <xdr:rowOff>87084</xdr:rowOff>
    </xdr:to>
    <mc:AlternateContent xmlns:mc="http://schemas.openxmlformats.org/markup-compatibility/2006" xmlns:a14="http://schemas.microsoft.com/office/drawing/2010/main">
      <mc:Choice Requires="a14">
        <xdr:graphicFrame macro="">
          <xdr:nvGraphicFramePr>
            <xdr:cNvPr id="16" name="Disease">
              <a:extLst>
                <a:ext uri="{FF2B5EF4-FFF2-40B4-BE49-F238E27FC236}">
                  <a16:creationId xmlns:a16="http://schemas.microsoft.com/office/drawing/2014/main" id="{9D63AE93-22CB-294D-19E1-C9F441E8CE30}"/>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mlns="">
        <xdr:sp macro="" textlink="">
          <xdr:nvSpPr>
            <xdr:cNvPr id="0" name=""/>
            <xdr:cNvSpPr>
              <a:spLocks noTextEdit="1"/>
            </xdr:cNvSpPr>
          </xdr:nvSpPr>
          <xdr:spPr>
            <a:xfrm>
              <a:off x="13400314" y="2964180"/>
              <a:ext cx="1197429" cy="1836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578032</xdr:colOff>
      <xdr:row>3</xdr:row>
      <xdr:rowOff>4355</xdr:rowOff>
    </xdr:from>
    <xdr:to>
      <xdr:col>23</xdr:col>
      <xdr:colOff>435429</xdr:colOff>
      <xdr:row>14</xdr:row>
      <xdr:rowOff>163287</xdr:rowOff>
    </xdr:to>
    <mc:AlternateContent xmlns:mc="http://schemas.openxmlformats.org/markup-compatibility/2006" xmlns:a14="http://schemas.microsoft.com/office/drawing/2010/main">
      <mc:Choice Requires="a14">
        <xdr:graphicFrame macro="">
          <xdr:nvGraphicFramePr>
            <xdr:cNvPr id="17" name="Stay_Days">
              <a:extLst>
                <a:ext uri="{FF2B5EF4-FFF2-40B4-BE49-F238E27FC236}">
                  <a16:creationId xmlns:a16="http://schemas.microsoft.com/office/drawing/2014/main" id="{6CF066B2-94F9-6243-D09E-2D2DE6D15216}"/>
                </a:ext>
              </a:extLst>
            </xdr:cNvPr>
            <xdr:cNvGraphicFramePr/>
          </xdr:nvGraphicFramePr>
          <xdr:xfrm>
            <a:off x="0" y="0"/>
            <a:ext cx="0" cy="0"/>
          </xdr:xfrm>
          <a:graphic>
            <a:graphicData uri="http://schemas.microsoft.com/office/drawing/2010/slicer">
              <sle:slicer xmlns:sle="http://schemas.microsoft.com/office/drawing/2010/slicer" name="Stay_Days"/>
            </a:graphicData>
          </a:graphic>
        </xdr:graphicFrame>
      </mc:Choice>
      <mc:Fallback xmlns="">
        <xdr:sp macro="" textlink="">
          <xdr:nvSpPr>
            <xdr:cNvPr id="0" name=""/>
            <xdr:cNvSpPr>
              <a:spLocks noTextEdit="1"/>
            </xdr:cNvSpPr>
          </xdr:nvSpPr>
          <xdr:spPr>
            <a:xfrm>
              <a:off x="13379632" y="646612"/>
              <a:ext cx="1076597"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155666</xdr:colOff>
      <xdr:row>13</xdr:row>
      <xdr:rowOff>28303</xdr:rowOff>
    </xdr:from>
    <xdr:to>
      <xdr:col>21</xdr:col>
      <xdr:colOff>174171</xdr:colOff>
      <xdr:row>17</xdr:row>
      <xdr:rowOff>141514</xdr:rowOff>
    </xdr:to>
    <mc:AlternateContent xmlns:mc="http://schemas.openxmlformats.org/markup-compatibility/2006" xmlns:a14="http://schemas.microsoft.com/office/drawing/2010/main">
      <mc:Choice Requires="a14">
        <xdr:graphicFrame macro="">
          <xdr:nvGraphicFramePr>
            <xdr:cNvPr id="19" name="Payment_Mode">
              <a:extLst>
                <a:ext uri="{FF2B5EF4-FFF2-40B4-BE49-F238E27FC236}">
                  <a16:creationId xmlns:a16="http://schemas.microsoft.com/office/drawing/2014/main" id="{DE87056A-8B45-3B56-A05F-CF5EAF53BA45}"/>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1738066" y="2521132"/>
              <a:ext cx="1237705"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134983</xdr:colOff>
      <xdr:row>3</xdr:row>
      <xdr:rowOff>7621</xdr:rowOff>
    </xdr:from>
    <xdr:to>
      <xdr:col>21</xdr:col>
      <xdr:colOff>261257</xdr:colOff>
      <xdr:row>12</xdr:row>
      <xdr:rowOff>76201</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E4849CE3-8DCB-606D-2E7D-C88BC46431E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717383" y="649878"/>
              <a:ext cx="1345474" cy="1734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xdr:colOff>
      <xdr:row>6</xdr:row>
      <xdr:rowOff>83820</xdr:rowOff>
    </xdr:from>
    <xdr:to>
      <xdr:col>11</xdr:col>
      <xdr:colOff>45720</xdr:colOff>
      <xdr:row>21</xdr:row>
      <xdr:rowOff>0</xdr:rowOff>
    </xdr:to>
    <xdr:graphicFrame macro="">
      <xdr:nvGraphicFramePr>
        <xdr:cNvPr id="2" name="Chart 1">
          <a:extLst>
            <a:ext uri="{FF2B5EF4-FFF2-40B4-BE49-F238E27FC236}">
              <a16:creationId xmlns:a16="http://schemas.microsoft.com/office/drawing/2014/main" id="{D6F4FC65-B42A-355B-68DF-6F31F8EF7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91440</xdr:colOff>
      <xdr:row>4</xdr:row>
      <xdr:rowOff>160020</xdr:rowOff>
    </xdr:from>
    <xdr:to>
      <xdr:col>10</xdr:col>
      <xdr:colOff>396240</xdr:colOff>
      <xdr:row>19</xdr:row>
      <xdr:rowOff>160020</xdr:rowOff>
    </xdr:to>
    <xdr:graphicFrame macro="">
      <xdr:nvGraphicFramePr>
        <xdr:cNvPr id="2" name="Chart 1">
          <a:extLst>
            <a:ext uri="{FF2B5EF4-FFF2-40B4-BE49-F238E27FC236}">
              <a16:creationId xmlns:a16="http://schemas.microsoft.com/office/drawing/2014/main" id="{B35DC045-9474-1B61-FE9B-B34B0F811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1158240</xdr:colOff>
      <xdr:row>6</xdr:row>
      <xdr:rowOff>53340</xdr:rowOff>
    </xdr:from>
    <xdr:to>
      <xdr:col>10</xdr:col>
      <xdr:colOff>15240</xdr:colOff>
      <xdr:row>21</xdr:row>
      <xdr:rowOff>53340</xdr:rowOff>
    </xdr:to>
    <xdr:graphicFrame macro="">
      <xdr:nvGraphicFramePr>
        <xdr:cNvPr id="2" name="Chart 1">
          <a:extLst>
            <a:ext uri="{FF2B5EF4-FFF2-40B4-BE49-F238E27FC236}">
              <a16:creationId xmlns:a16="http://schemas.microsoft.com/office/drawing/2014/main" id="{80D3E810-8888-BCC9-41EF-AD66ECC13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259742</xdr:colOff>
      <xdr:row>5</xdr:row>
      <xdr:rowOff>169960</xdr:rowOff>
    </xdr:from>
    <xdr:to>
      <xdr:col>10</xdr:col>
      <xdr:colOff>564542</xdr:colOff>
      <xdr:row>20</xdr:row>
      <xdr:rowOff>169959</xdr:rowOff>
    </xdr:to>
    <xdr:graphicFrame macro="">
      <xdr:nvGraphicFramePr>
        <xdr:cNvPr id="2" name="Chart 1">
          <a:extLst>
            <a:ext uri="{FF2B5EF4-FFF2-40B4-BE49-F238E27FC236}">
              <a16:creationId xmlns:a16="http://schemas.microsoft.com/office/drawing/2014/main" id="{3D0CE97D-52E9-B9C0-61AF-6CB63D41A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1135380</xdr:colOff>
      <xdr:row>6</xdr:row>
      <xdr:rowOff>83820</xdr:rowOff>
    </xdr:from>
    <xdr:to>
      <xdr:col>10</xdr:col>
      <xdr:colOff>220980</xdr:colOff>
      <xdr:row>21</xdr:row>
      <xdr:rowOff>83820</xdr:rowOff>
    </xdr:to>
    <xdr:graphicFrame macro="">
      <xdr:nvGraphicFramePr>
        <xdr:cNvPr id="3" name="Chart 2">
          <a:extLst>
            <a:ext uri="{FF2B5EF4-FFF2-40B4-BE49-F238E27FC236}">
              <a16:creationId xmlns:a16="http://schemas.microsoft.com/office/drawing/2014/main" id="{0A90F0FA-4F25-82BF-C5A4-9B9AF3ECE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838200</xdr:colOff>
      <xdr:row>6</xdr:row>
      <xdr:rowOff>83820</xdr:rowOff>
    </xdr:from>
    <xdr:to>
      <xdr:col>10</xdr:col>
      <xdr:colOff>30480</xdr:colOff>
      <xdr:row>21</xdr:row>
      <xdr:rowOff>83820</xdr:rowOff>
    </xdr:to>
    <xdr:graphicFrame macro="">
      <xdr:nvGraphicFramePr>
        <xdr:cNvPr id="2" name="Chart 1">
          <a:extLst>
            <a:ext uri="{FF2B5EF4-FFF2-40B4-BE49-F238E27FC236}">
              <a16:creationId xmlns:a16="http://schemas.microsoft.com/office/drawing/2014/main" id="{59F8520D-A0D7-0140-AC83-A5B80AAF7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213360</xdr:colOff>
      <xdr:row>6</xdr:row>
      <xdr:rowOff>83820</xdr:rowOff>
    </xdr:from>
    <xdr:to>
      <xdr:col>10</xdr:col>
      <xdr:colOff>518160</xdr:colOff>
      <xdr:row>21</xdr:row>
      <xdr:rowOff>83820</xdr:rowOff>
    </xdr:to>
    <xdr:graphicFrame macro="">
      <xdr:nvGraphicFramePr>
        <xdr:cNvPr id="3" name="Chart 2">
          <a:extLst>
            <a:ext uri="{FF2B5EF4-FFF2-40B4-BE49-F238E27FC236}">
              <a16:creationId xmlns:a16="http://schemas.microsoft.com/office/drawing/2014/main" id="{241552C0-B8E9-8DA3-92C6-51D3DE3E8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601980</xdr:colOff>
      <xdr:row>6</xdr:row>
      <xdr:rowOff>83820</xdr:rowOff>
    </xdr:from>
    <xdr:to>
      <xdr:col>10</xdr:col>
      <xdr:colOff>297180</xdr:colOff>
      <xdr:row>21</xdr:row>
      <xdr:rowOff>83820</xdr:rowOff>
    </xdr:to>
    <xdr:graphicFrame macro="">
      <xdr:nvGraphicFramePr>
        <xdr:cNvPr id="3" name="Chart 2">
          <a:extLst>
            <a:ext uri="{FF2B5EF4-FFF2-40B4-BE49-F238E27FC236}">
              <a16:creationId xmlns:a16="http://schemas.microsoft.com/office/drawing/2014/main" id="{28F82BD8-9C46-1824-8F86-124E9BD8D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441960</xdr:colOff>
      <xdr:row>6</xdr:row>
      <xdr:rowOff>83820</xdr:rowOff>
    </xdr:from>
    <xdr:to>
      <xdr:col>11</xdr:col>
      <xdr:colOff>137160</xdr:colOff>
      <xdr:row>21</xdr:row>
      <xdr:rowOff>83820</xdr:rowOff>
    </xdr:to>
    <xdr:graphicFrame macro="">
      <xdr:nvGraphicFramePr>
        <xdr:cNvPr id="2" name="Chart 1">
          <a:extLst>
            <a:ext uri="{FF2B5EF4-FFF2-40B4-BE49-F238E27FC236}">
              <a16:creationId xmlns:a16="http://schemas.microsoft.com/office/drawing/2014/main" id="{3CCFD7D7-2073-2934-481C-14F3F2262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7.900503819445" createdVersion="8" refreshedVersion="8" minRefreshableVersion="3" recordCount="100" xr:uid="{E79F2E5A-7D25-4EE7-83BE-AB188DB82FA1}">
  <cacheSource type="worksheet">
    <worksheetSource name="Table1"/>
  </cacheSource>
  <cacheFields count="13">
    <cacheField name="Patient_ID" numFmtId="0">
      <sharedItems count="10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haredItems>
    </cacheField>
    <cacheField name="Age" numFmtId="0">
      <sharedItems containsSemiMixedTypes="0" containsString="0" containsNumber="1" containsInteger="1" minValue="20" maxValue="70"/>
    </cacheField>
    <cacheField name="Age Group" numFmtId="0">
      <sharedItems count="3">
        <s v="Children"/>
        <s v="Adult"/>
        <s v="Elder"/>
      </sharedItems>
    </cacheField>
    <cacheField name="Gender" numFmtId="0">
      <sharedItems count="2">
        <s v="Male"/>
        <s v="Female"/>
      </sharedItems>
    </cacheField>
    <cacheField name="Department" numFmtId="0">
      <sharedItems count="5">
        <s v="Orthopedics"/>
        <s v="General"/>
        <s v="Cardiology"/>
        <s v="Neurology"/>
        <s v="Gynecology"/>
      </sharedItems>
    </cacheField>
    <cacheField name="Disease" numFmtId="0">
      <sharedItems count="10">
        <s v="PCOS"/>
        <s v="Infection"/>
        <s v="Heart Disease"/>
        <s v="Pregnancy"/>
        <s v="Stroke"/>
        <s v="BP"/>
        <s v="Paralysis"/>
        <s v="Fever"/>
        <s v="Fracture"/>
        <s v="Injury"/>
      </sharedItems>
    </cacheField>
    <cacheField name="Admission_Date" numFmtId="0">
      <sharedItems/>
    </cacheField>
    <cacheField name="Discharge_Date" numFmtId="0">
      <sharedItems/>
    </cacheField>
    <cacheField name="Stay_Days" numFmtId="0">
      <sharedItems containsSemiMixedTypes="0" containsString="0" containsNumber="1" containsInteger="1" minValue="2" maxValue="8" count="7">
        <n v="3"/>
        <n v="6"/>
        <n v="2"/>
        <n v="8"/>
        <n v="4"/>
        <n v="7"/>
        <n v="5"/>
      </sharedItems>
    </cacheField>
    <cacheField name="stay duration" numFmtId="0">
      <sharedItems count="3">
        <s v="Chronic_pt."/>
        <s v="Acute_pt."/>
        <s v="Intermediate_pt."/>
      </sharedItems>
    </cacheField>
    <cacheField name="Treatment_Cost" numFmtId="0">
      <sharedItems containsSemiMixedTypes="0" containsString="0" containsNumber="1" containsInteger="1" minValue="9118" maxValue="99057" count="100">
        <n v="57149"/>
        <n v="98636"/>
        <n v="72391"/>
        <n v="69709"/>
        <n v="20835"/>
        <n v="28040"/>
        <n v="14064"/>
        <n v="52001"/>
        <n v="64594"/>
        <n v="82690"/>
        <n v="92578"/>
        <n v="40533"/>
        <n v="87040"/>
        <n v="16398"/>
        <n v="96087"/>
        <n v="43723"/>
        <n v="82358"/>
        <n v="84392"/>
        <n v="96918"/>
        <n v="59384"/>
        <n v="88389"/>
        <n v="71775"/>
        <n v="41804"/>
        <n v="19712"/>
        <n v="43683"/>
        <n v="71249"/>
        <n v="32193"/>
        <n v="84900"/>
        <n v="79073"/>
        <n v="14872"/>
        <n v="13186"/>
        <n v="94752"/>
        <n v="94816"/>
        <n v="27726"/>
        <n v="50509"/>
        <n v="85710"/>
        <n v="11667"/>
        <n v="82549"/>
        <n v="74922"/>
        <n v="50346"/>
        <n v="75721"/>
        <n v="48050"/>
        <n v="21826"/>
        <n v="59862"/>
        <n v="95780"/>
        <n v="37250"/>
        <n v="86146"/>
        <n v="78579"/>
        <n v="81526"/>
        <n v="99057"/>
        <n v="14071"/>
        <n v="94471"/>
        <n v="95297"/>
        <n v="33656"/>
        <n v="86088"/>
        <n v="86823"/>
        <n v="71209"/>
        <n v="93490"/>
        <n v="31540"/>
        <n v="84881"/>
        <n v="80674"/>
        <n v="75067"/>
        <n v="15763"/>
        <n v="12574"/>
        <n v="40075"/>
        <n v="43762"/>
        <n v="59680"/>
        <n v="39293"/>
        <n v="68915"/>
        <n v="77638"/>
        <n v="81152"/>
        <n v="41170"/>
        <n v="45657"/>
        <n v="36433"/>
        <n v="83466"/>
        <n v="59922"/>
        <n v="91014"/>
        <n v="44341"/>
        <n v="17081"/>
        <n v="96377"/>
        <n v="20829"/>
        <n v="10552"/>
        <n v="9118"/>
        <n v="53685"/>
        <n v="94933"/>
        <n v="89875"/>
        <n v="31375"/>
        <n v="14882"/>
        <n v="82375"/>
        <n v="97743"/>
        <n v="58548"/>
        <n v="22320"/>
        <n v="68600"/>
        <n v="95857"/>
        <n v="76775"/>
        <n v="83730"/>
        <n v="87530"/>
        <n v="47957"/>
        <n v="12116"/>
        <n v="75214"/>
      </sharedItems>
    </cacheField>
    <cacheField name="Payment_Mode" numFmtId="0">
      <sharedItems count="2">
        <s v="Cash"/>
        <s v="Insurance"/>
      </sharedItems>
    </cacheField>
    <cacheField name="City" numFmtId="0">
      <sharedItems count="5">
        <s v="Kanpur"/>
        <s v="Lucknow"/>
        <s v="Bangalore"/>
        <s v="Mumbai"/>
        <s v="Delhi"/>
      </sharedItems>
    </cacheField>
  </cacheFields>
  <extLst>
    <ext xmlns:x14="http://schemas.microsoft.com/office/spreadsheetml/2009/9/main" uri="{725AE2AE-9491-48be-B2B4-4EB974FC3084}">
      <x14:pivotCacheDefinition pivotCacheId="4661652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23"/>
    <x v="0"/>
    <x v="0"/>
    <x v="0"/>
    <x v="0"/>
    <s v="07-03-2026"/>
    <s v="10-03-2026"/>
    <x v="0"/>
    <x v="0"/>
    <x v="0"/>
    <x v="0"/>
    <x v="0"/>
  </r>
  <r>
    <x v="1"/>
    <n v="21"/>
    <x v="0"/>
    <x v="0"/>
    <x v="1"/>
    <x v="1"/>
    <s v="02-03-2026"/>
    <s v="05-03-2026"/>
    <x v="0"/>
    <x v="0"/>
    <x v="1"/>
    <x v="1"/>
    <x v="1"/>
  </r>
  <r>
    <x v="2"/>
    <n v="34"/>
    <x v="1"/>
    <x v="0"/>
    <x v="2"/>
    <x v="1"/>
    <s v="18-03-2026"/>
    <s v="24-03-2026"/>
    <x v="1"/>
    <x v="0"/>
    <x v="2"/>
    <x v="1"/>
    <x v="0"/>
  </r>
  <r>
    <x v="3"/>
    <n v="56"/>
    <x v="1"/>
    <x v="0"/>
    <x v="2"/>
    <x v="2"/>
    <s v="22-03-2026"/>
    <s v="24-03-2026"/>
    <x v="2"/>
    <x v="1"/>
    <x v="3"/>
    <x v="0"/>
    <x v="1"/>
  </r>
  <r>
    <x v="4"/>
    <n v="39"/>
    <x v="1"/>
    <x v="1"/>
    <x v="1"/>
    <x v="3"/>
    <s v="30-03-2026"/>
    <s v="07-04-2026"/>
    <x v="3"/>
    <x v="2"/>
    <x v="4"/>
    <x v="0"/>
    <x v="2"/>
  </r>
  <r>
    <x v="5"/>
    <n v="30"/>
    <x v="1"/>
    <x v="0"/>
    <x v="2"/>
    <x v="4"/>
    <s v="18-03-2026"/>
    <s v="20-03-2026"/>
    <x v="2"/>
    <x v="1"/>
    <x v="5"/>
    <x v="1"/>
    <x v="0"/>
  </r>
  <r>
    <x v="6"/>
    <n v="23"/>
    <x v="0"/>
    <x v="1"/>
    <x v="0"/>
    <x v="5"/>
    <s v="10-03-2026"/>
    <s v="13-03-2026"/>
    <x v="0"/>
    <x v="0"/>
    <x v="6"/>
    <x v="0"/>
    <x v="2"/>
  </r>
  <r>
    <x v="7"/>
    <n v="70"/>
    <x v="2"/>
    <x v="1"/>
    <x v="3"/>
    <x v="6"/>
    <s v="17-03-2026"/>
    <s v="21-03-2026"/>
    <x v="4"/>
    <x v="0"/>
    <x v="7"/>
    <x v="0"/>
    <x v="0"/>
  </r>
  <r>
    <x v="8"/>
    <n v="43"/>
    <x v="1"/>
    <x v="1"/>
    <x v="4"/>
    <x v="6"/>
    <s v="25-03-2026"/>
    <s v="01-04-2026"/>
    <x v="5"/>
    <x v="2"/>
    <x v="8"/>
    <x v="1"/>
    <x v="1"/>
  </r>
  <r>
    <x v="9"/>
    <n v="52"/>
    <x v="1"/>
    <x v="1"/>
    <x v="1"/>
    <x v="1"/>
    <s v="21-03-2026"/>
    <s v="24-03-2026"/>
    <x v="0"/>
    <x v="0"/>
    <x v="9"/>
    <x v="1"/>
    <x v="3"/>
  </r>
  <r>
    <x v="10"/>
    <n v="51"/>
    <x v="1"/>
    <x v="1"/>
    <x v="3"/>
    <x v="6"/>
    <s v="17-03-2026"/>
    <s v="21-03-2026"/>
    <x v="4"/>
    <x v="0"/>
    <x v="10"/>
    <x v="1"/>
    <x v="4"/>
  </r>
  <r>
    <x v="11"/>
    <n v="34"/>
    <x v="1"/>
    <x v="0"/>
    <x v="3"/>
    <x v="7"/>
    <s v="13-03-2026"/>
    <s v="16-03-2026"/>
    <x v="0"/>
    <x v="0"/>
    <x v="11"/>
    <x v="0"/>
    <x v="3"/>
  </r>
  <r>
    <x v="12"/>
    <n v="39"/>
    <x v="1"/>
    <x v="1"/>
    <x v="2"/>
    <x v="0"/>
    <s v="10-03-2026"/>
    <s v="13-03-2026"/>
    <x v="0"/>
    <x v="0"/>
    <x v="12"/>
    <x v="1"/>
    <x v="0"/>
  </r>
  <r>
    <x v="13"/>
    <n v="22"/>
    <x v="0"/>
    <x v="0"/>
    <x v="1"/>
    <x v="8"/>
    <s v="15-03-2026"/>
    <s v="20-03-2026"/>
    <x v="6"/>
    <x v="0"/>
    <x v="13"/>
    <x v="1"/>
    <x v="0"/>
  </r>
  <r>
    <x v="14"/>
    <n v="67"/>
    <x v="2"/>
    <x v="0"/>
    <x v="1"/>
    <x v="5"/>
    <s v="19-03-2026"/>
    <s v="24-03-2026"/>
    <x v="6"/>
    <x v="0"/>
    <x v="14"/>
    <x v="0"/>
    <x v="3"/>
  </r>
  <r>
    <x v="15"/>
    <n v="60"/>
    <x v="1"/>
    <x v="1"/>
    <x v="4"/>
    <x v="6"/>
    <s v="27-03-2026"/>
    <s v="04-04-2026"/>
    <x v="3"/>
    <x v="2"/>
    <x v="15"/>
    <x v="0"/>
    <x v="0"/>
  </r>
  <r>
    <x v="16"/>
    <n v="40"/>
    <x v="1"/>
    <x v="1"/>
    <x v="4"/>
    <x v="4"/>
    <s v="23-03-2026"/>
    <s v="26-03-2026"/>
    <x v="0"/>
    <x v="0"/>
    <x v="16"/>
    <x v="1"/>
    <x v="1"/>
  </r>
  <r>
    <x v="17"/>
    <n v="27"/>
    <x v="1"/>
    <x v="0"/>
    <x v="1"/>
    <x v="6"/>
    <s v="06-03-2026"/>
    <s v="10-03-2026"/>
    <x v="4"/>
    <x v="0"/>
    <x v="17"/>
    <x v="0"/>
    <x v="1"/>
  </r>
  <r>
    <x v="18"/>
    <n v="40"/>
    <x v="1"/>
    <x v="1"/>
    <x v="2"/>
    <x v="4"/>
    <s v="12-03-2026"/>
    <s v="14-03-2026"/>
    <x v="2"/>
    <x v="1"/>
    <x v="18"/>
    <x v="1"/>
    <x v="4"/>
  </r>
  <r>
    <x v="19"/>
    <n v="47"/>
    <x v="1"/>
    <x v="1"/>
    <x v="1"/>
    <x v="8"/>
    <s v="06-03-2026"/>
    <s v="14-03-2026"/>
    <x v="3"/>
    <x v="2"/>
    <x v="19"/>
    <x v="0"/>
    <x v="1"/>
  </r>
  <r>
    <x v="20"/>
    <n v="48"/>
    <x v="1"/>
    <x v="0"/>
    <x v="1"/>
    <x v="7"/>
    <s v="29-03-2026"/>
    <s v="06-04-2026"/>
    <x v="3"/>
    <x v="2"/>
    <x v="20"/>
    <x v="0"/>
    <x v="3"/>
  </r>
  <r>
    <x v="21"/>
    <n v="22"/>
    <x v="0"/>
    <x v="0"/>
    <x v="4"/>
    <x v="8"/>
    <s v="14-03-2026"/>
    <s v="16-03-2026"/>
    <x v="2"/>
    <x v="1"/>
    <x v="21"/>
    <x v="1"/>
    <x v="1"/>
  </r>
  <r>
    <x v="22"/>
    <n v="29"/>
    <x v="1"/>
    <x v="1"/>
    <x v="0"/>
    <x v="6"/>
    <s v="09-03-2026"/>
    <s v="15-03-2026"/>
    <x v="1"/>
    <x v="0"/>
    <x v="22"/>
    <x v="1"/>
    <x v="1"/>
  </r>
  <r>
    <x v="23"/>
    <n v="32"/>
    <x v="1"/>
    <x v="1"/>
    <x v="0"/>
    <x v="2"/>
    <s v="09-03-2026"/>
    <s v="15-03-2026"/>
    <x v="1"/>
    <x v="0"/>
    <x v="23"/>
    <x v="1"/>
    <x v="3"/>
  </r>
  <r>
    <x v="24"/>
    <n v="65"/>
    <x v="2"/>
    <x v="1"/>
    <x v="4"/>
    <x v="1"/>
    <s v="18-03-2026"/>
    <s v="26-03-2026"/>
    <x v="3"/>
    <x v="2"/>
    <x v="24"/>
    <x v="1"/>
    <x v="1"/>
  </r>
  <r>
    <x v="25"/>
    <n v="67"/>
    <x v="2"/>
    <x v="0"/>
    <x v="1"/>
    <x v="7"/>
    <s v="23-03-2026"/>
    <s v="28-03-2026"/>
    <x v="6"/>
    <x v="0"/>
    <x v="25"/>
    <x v="1"/>
    <x v="3"/>
  </r>
  <r>
    <x v="26"/>
    <n v="56"/>
    <x v="1"/>
    <x v="0"/>
    <x v="0"/>
    <x v="0"/>
    <s v="31-03-2026"/>
    <s v="07-04-2026"/>
    <x v="5"/>
    <x v="2"/>
    <x v="26"/>
    <x v="0"/>
    <x v="4"/>
  </r>
  <r>
    <x v="27"/>
    <n v="56"/>
    <x v="1"/>
    <x v="0"/>
    <x v="3"/>
    <x v="5"/>
    <s v="22-03-2026"/>
    <s v="26-03-2026"/>
    <x v="4"/>
    <x v="0"/>
    <x v="27"/>
    <x v="0"/>
    <x v="2"/>
  </r>
  <r>
    <x v="28"/>
    <n v="30"/>
    <x v="1"/>
    <x v="1"/>
    <x v="4"/>
    <x v="0"/>
    <s v="21-03-2026"/>
    <s v="27-03-2026"/>
    <x v="1"/>
    <x v="0"/>
    <x v="28"/>
    <x v="1"/>
    <x v="2"/>
  </r>
  <r>
    <x v="29"/>
    <n v="35"/>
    <x v="1"/>
    <x v="0"/>
    <x v="1"/>
    <x v="8"/>
    <s v="26-03-2026"/>
    <s v="29-03-2026"/>
    <x v="0"/>
    <x v="0"/>
    <x v="29"/>
    <x v="0"/>
    <x v="1"/>
  </r>
  <r>
    <x v="30"/>
    <n v="28"/>
    <x v="1"/>
    <x v="0"/>
    <x v="4"/>
    <x v="1"/>
    <s v="11-03-2026"/>
    <s v="16-03-2026"/>
    <x v="6"/>
    <x v="0"/>
    <x v="30"/>
    <x v="0"/>
    <x v="1"/>
  </r>
  <r>
    <x v="31"/>
    <n v="23"/>
    <x v="0"/>
    <x v="0"/>
    <x v="3"/>
    <x v="8"/>
    <s v="01-03-2026"/>
    <s v="08-03-2026"/>
    <x v="5"/>
    <x v="2"/>
    <x v="31"/>
    <x v="1"/>
    <x v="0"/>
  </r>
  <r>
    <x v="32"/>
    <n v="25"/>
    <x v="0"/>
    <x v="0"/>
    <x v="1"/>
    <x v="8"/>
    <s v="15-03-2026"/>
    <s v="20-03-2026"/>
    <x v="6"/>
    <x v="0"/>
    <x v="32"/>
    <x v="1"/>
    <x v="1"/>
  </r>
  <r>
    <x v="33"/>
    <n v="43"/>
    <x v="1"/>
    <x v="0"/>
    <x v="0"/>
    <x v="2"/>
    <s v="08-03-2026"/>
    <s v="14-03-2026"/>
    <x v="1"/>
    <x v="0"/>
    <x v="33"/>
    <x v="0"/>
    <x v="4"/>
  </r>
  <r>
    <x v="34"/>
    <n v="44"/>
    <x v="1"/>
    <x v="0"/>
    <x v="3"/>
    <x v="9"/>
    <s v="05-03-2026"/>
    <s v="09-03-2026"/>
    <x v="4"/>
    <x v="0"/>
    <x v="34"/>
    <x v="1"/>
    <x v="0"/>
  </r>
  <r>
    <x v="35"/>
    <n v="60"/>
    <x v="1"/>
    <x v="1"/>
    <x v="3"/>
    <x v="3"/>
    <s v="06-03-2026"/>
    <s v="13-03-2026"/>
    <x v="5"/>
    <x v="2"/>
    <x v="35"/>
    <x v="0"/>
    <x v="3"/>
  </r>
  <r>
    <x v="36"/>
    <n v="34"/>
    <x v="1"/>
    <x v="1"/>
    <x v="3"/>
    <x v="4"/>
    <s v="24-03-2026"/>
    <s v="01-04-2026"/>
    <x v="3"/>
    <x v="2"/>
    <x v="36"/>
    <x v="0"/>
    <x v="1"/>
  </r>
  <r>
    <x v="37"/>
    <n v="44"/>
    <x v="1"/>
    <x v="0"/>
    <x v="2"/>
    <x v="5"/>
    <s v="26-03-2026"/>
    <s v="03-04-2026"/>
    <x v="3"/>
    <x v="2"/>
    <x v="37"/>
    <x v="1"/>
    <x v="0"/>
  </r>
  <r>
    <x v="38"/>
    <n v="20"/>
    <x v="0"/>
    <x v="1"/>
    <x v="2"/>
    <x v="7"/>
    <s v="19-03-2026"/>
    <s v="27-03-2026"/>
    <x v="3"/>
    <x v="2"/>
    <x v="38"/>
    <x v="1"/>
    <x v="3"/>
  </r>
  <r>
    <x v="39"/>
    <n v="66"/>
    <x v="2"/>
    <x v="0"/>
    <x v="2"/>
    <x v="3"/>
    <s v="19-03-2026"/>
    <s v="22-03-2026"/>
    <x v="0"/>
    <x v="0"/>
    <x v="39"/>
    <x v="1"/>
    <x v="0"/>
  </r>
  <r>
    <x v="40"/>
    <n v="40"/>
    <x v="1"/>
    <x v="0"/>
    <x v="2"/>
    <x v="2"/>
    <s v="25-03-2026"/>
    <s v="30-03-2026"/>
    <x v="6"/>
    <x v="0"/>
    <x v="40"/>
    <x v="0"/>
    <x v="2"/>
  </r>
  <r>
    <x v="41"/>
    <n v="70"/>
    <x v="2"/>
    <x v="0"/>
    <x v="1"/>
    <x v="4"/>
    <s v="20-03-2026"/>
    <s v="26-03-2026"/>
    <x v="1"/>
    <x v="0"/>
    <x v="41"/>
    <x v="1"/>
    <x v="3"/>
  </r>
  <r>
    <x v="42"/>
    <n v="39"/>
    <x v="1"/>
    <x v="1"/>
    <x v="3"/>
    <x v="8"/>
    <s v="11-03-2026"/>
    <s v="16-03-2026"/>
    <x v="6"/>
    <x v="0"/>
    <x v="42"/>
    <x v="1"/>
    <x v="3"/>
  </r>
  <r>
    <x v="43"/>
    <n v="58"/>
    <x v="1"/>
    <x v="1"/>
    <x v="1"/>
    <x v="6"/>
    <s v="06-03-2026"/>
    <s v="08-03-2026"/>
    <x v="2"/>
    <x v="1"/>
    <x v="43"/>
    <x v="0"/>
    <x v="4"/>
  </r>
  <r>
    <x v="44"/>
    <n v="64"/>
    <x v="2"/>
    <x v="1"/>
    <x v="0"/>
    <x v="3"/>
    <s v="12-03-2026"/>
    <s v="17-03-2026"/>
    <x v="6"/>
    <x v="0"/>
    <x v="44"/>
    <x v="0"/>
    <x v="3"/>
  </r>
  <r>
    <x v="45"/>
    <n v="30"/>
    <x v="1"/>
    <x v="0"/>
    <x v="0"/>
    <x v="3"/>
    <s v="25-03-2026"/>
    <s v="02-04-2026"/>
    <x v="3"/>
    <x v="2"/>
    <x v="45"/>
    <x v="0"/>
    <x v="3"/>
  </r>
  <r>
    <x v="46"/>
    <n v="34"/>
    <x v="1"/>
    <x v="0"/>
    <x v="1"/>
    <x v="7"/>
    <s v="01-03-2026"/>
    <s v="06-03-2026"/>
    <x v="6"/>
    <x v="0"/>
    <x v="46"/>
    <x v="0"/>
    <x v="2"/>
  </r>
  <r>
    <x v="47"/>
    <n v="46"/>
    <x v="1"/>
    <x v="1"/>
    <x v="4"/>
    <x v="9"/>
    <s v="05-03-2026"/>
    <s v="11-03-2026"/>
    <x v="1"/>
    <x v="0"/>
    <x v="47"/>
    <x v="1"/>
    <x v="3"/>
  </r>
  <r>
    <x v="48"/>
    <n v="32"/>
    <x v="1"/>
    <x v="1"/>
    <x v="1"/>
    <x v="2"/>
    <s v="09-03-2026"/>
    <s v="12-03-2026"/>
    <x v="0"/>
    <x v="0"/>
    <x v="48"/>
    <x v="0"/>
    <x v="0"/>
  </r>
  <r>
    <x v="49"/>
    <n v="33"/>
    <x v="1"/>
    <x v="0"/>
    <x v="0"/>
    <x v="6"/>
    <s v="04-03-2026"/>
    <s v="12-03-2026"/>
    <x v="3"/>
    <x v="2"/>
    <x v="49"/>
    <x v="1"/>
    <x v="3"/>
  </r>
  <r>
    <x v="50"/>
    <n v="62"/>
    <x v="2"/>
    <x v="1"/>
    <x v="4"/>
    <x v="4"/>
    <s v="14-03-2026"/>
    <s v="19-03-2026"/>
    <x v="6"/>
    <x v="0"/>
    <x v="50"/>
    <x v="1"/>
    <x v="0"/>
  </r>
  <r>
    <x v="51"/>
    <n v="33"/>
    <x v="1"/>
    <x v="1"/>
    <x v="0"/>
    <x v="4"/>
    <s v="25-03-2026"/>
    <s v="02-04-2026"/>
    <x v="3"/>
    <x v="2"/>
    <x v="51"/>
    <x v="0"/>
    <x v="0"/>
  </r>
  <r>
    <x v="52"/>
    <n v="68"/>
    <x v="2"/>
    <x v="1"/>
    <x v="3"/>
    <x v="4"/>
    <s v="24-03-2026"/>
    <s v="26-03-2026"/>
    <x v="2"/>
    <x v="1"/>
    <x v="52"/>
    <x v="0"/>
    <x v="3"/>
  </r>
  <r>
    <x v="53"/>
    <n v="21"/>
    <x v="0"/>
    <x v="0"/>
    <x v="2"/>
    <x v="7"/>
    <s v="15-03-2026"/>
    <s v="18-03-2026"/>
    <x v="0"/>
    <x v="0"/>
    <x v="53"/>
    <x v="0"/>
    <x v="1"/>
  </r>
  <r>
    <x v="54"/>
    <n v="35"/>
    <x v="1"/>
    <x v="0"/>
    <x v="0"/>
    <x v="8"/>
    <s v="29-03-2026"/>
    <s v="06-04-2026"/>
    <x v="3"/>
    <x v="2"/>
    <x v="54"/>
    <x v="1"/>
    <x v="0"/>
  </r>
  <r>
    <x v="55"/>
    <n v="38"/>
    <x v="1"/>
    <x v="1"/>
    <x v="3"/>
    <x v="7"/>
    <s v="03-03-2026"/>
    <s v="11-03-2026"/>
    <x v="3"/>
    <x v="2"/>
    <x v="55"/>
    <x v="0"/>
    <x v="0"/>
  </r>
  <r>
    <x v="56"/>
    <n v="32"/>
    <x v="1"/>
    <x v="0"/>
    <x v="2"/>
    <x v="7"/>
    <s v="28-03-2026"/>
    <s v="01-04-2026"/>
    <x v="4"/>
    <x v="0"/>
    <x v="56"/>
    <x v="1"/>
    <x v="1"/>
  </r>
  <r>
    <x v="57"/>
    <n v="35"/>
    <x v="1"/>
    <x v="1"/>
    <x v="4"/>
    <x v="3"/>
    <s v="22-03-2026"/>
    <s v="28-03-2026"/>
    <x v="1"/>
    <x v="0"/>
    <x v="57"/>
    <x v="0"/>
    <x v="1"/>
  </r>
  <r>
    <x v="58"/>
    <n v="23"/>
    <x v="0"/>
    <x v="0"/>
    <x v="4"/>
    <x v="2"/>
    <s v="17-03-2026"/>
    <s v="19-03-2026"/>
    <x v="2"/>
    <x v="1"/>
    <x v="58"/>
    <x v="0"/>
    <x v="4"/>
  </r>
  <r>
    <x v="59"/>
    <n v="29"/>
    <x v="1"/>
    <x v="0"/>
    <x v="3"/>
    <x v="1"/>
    <s v="29-03-2026"/>
    <s v="03-04-2026"/>
    <x v="6"/>
    <x v="0"/>
    <x v="59"/>
    <x v="1"/>
    <x v="3"/>
  </r>
  <r>
    <x v="60"/>
    <n v="34"/>
    <x v="1"/>
    <x v="0"/>
    <x v="1"/>
    <x v="6"/>
    <s v="16-03-2026"/>
    <s v="18-03-2026"/>
    <x v="2"/>
    <x v="1"/>
    <x v="60"/>
    <x v="1"/>
    <x v="2"/>
  </r>
  <r>
    <x v="61"/>
    <n v="52"/>
    <x v="1"/>
    <x v="0"/>
    <x v="1"/>
    <x v="7"/>
    <s v="03-03-2026"/>
    <s v="10-03-2026"/>
    <x v="5"/>
    <x v="2"/>
    <x v="61"/>
    <x v="1"/>
    <x v="3"/>
  </r>
  <r>
    <x v="62"/>
    <n v="33"/>
    <x v="1"/>
    <x v="0"/>
    <x v="0"/>
    <x v="2"/>
    <s v="25-03-2026"/>
    <s v="31-03-2026"/>
    <x v="1"/>
    <x v="0"/>
    <x v="62"/>
    <x v="0"/>
    <x v="2"/>
  </r>
  <r>
    <x v="63"/>
    <n v="45"/>
    <x v="1"/>
    <x v="0"/>
    <x v="4"/>
    <x v="4"/>
    <s v="16-03-2026"/>
    <s v="24-03-2026"/>
    <x v="3"/>
    <x v="2"/>
    <x v="63"/>
    <x v="0"/>
    <x v="2"/>
  </r>
  <r>
    <x v="64"/>
    <n v="56"/>
    <x v="1"/>
    <x v="0"/>
    <x v="1"/>
    <x v="4"/>
    <s v="24-03-2026"/>
    <s v="30-03-2026"/>
    <x v="1"/>
    <x v="0"/>
    <x v="64"/>
    <x v="0"/>
    <x v="4"/>
  </r>
  <r>
    <x v="65"/>
    <n v="35"/>
    <x v="1"/>
    <x v="1"/>
    <x v="1"/>
    <x v="1"/>
    <s v="11-03-2026"/>
    <s v="16-03-2026"/>
    <x v="6"/>
    <x v="0"/>
    <x v="65"/>
    <x v="1"/>
    <x v="0"/>
  </r>
  <r>
    <x v="66"/>
    <n v="63"/>
    <x v="2"/>
    <x v="1"/>
    <x v="2"/>
    <x v="9"/>
    <s v="27-03-2026"/>
    <s v="01-04-2026"/>
    <x v="6"/>
    <x v="0"/>
    <x v="66"/>
    <x v="1"/>
    <x v="0"/>
  </r>
  <r>
    <x v="67"/>
    <n v="24"/>
    <x v="0"/>
    <x v="0"/>
    <x v="3"/>
    <x v="5"/>
    <s v="22-03-2026"/>
    <s v="27-03-2026"/>
    <x v="6"/>
    <x v="0"/>
    <x v="67"/>
    <x v="1"/>
    <x v="2"/>
  </r>
  <r>
    <x v="68"/>
    <n v="21"/>
    <x v="0"/>
    <x v="0"/>
    <x v="1"/>
    <x v="7"/>
    <s v="26-03-2026"/>
    <s v="02-04-2026"/>
    <x v="5"/>
    <x v="2"/>
    <x v="68"/>
    <x v="0"/>
    <x v="4"/>
  </r>
  <r>
    <x v="69"/>
    <n v="58"/>
    <x v="1"/>
    <x v="1"/>
    <x v="4"/>
    <x v="3"/>
    <s v="24-03-2026"/>
    <s v="29-03-2026"/>
    <x v="6"/>
    <x v="0"/>
    <x v="69"/>
    <x v="1"/>
    <x v="3"/>
  </r>
  <r>
    <x v="70"/>
    <n v="49"/>
    <x v="1"/>
    <x v="0"/>
    <x v="4"/>
    <x v="7"/>
    <s v="27-03-2026"/>
    <s v="29-03-2026"/>
    <x v="2"/>
    <x v="1"/>
    <x v="70"/>
    <x v="0"/>
    <x v="3"/>
  </r>
  <r>
    <x v="71"/>
    <n v="67"/>
    <x v="2"/>
    <x v="0"/>
    <x v="3"/>
    <x v="7"/>
    <s v="16-03-2026"/>
    <s v="23-03-2026"/>
    <x v="5"/>
    <x v="2"/>
    <x v="71"/>
    <x v="1"/>
    <x v="2"/>
  </r>
  <r>
    <x v="72"/>
    <n v="41"/>
    <x v="1"/>
    <x v="0"/>
    <x v="4"/>
    <x v="2"/>
    <s v="04-03-2026"/>
    <s v="12-03-2026"/>
    <x v="3"/>
    <x v="2"/>
    <x v="72"/>
    <x v="1"/>
    <x v="2"/>
  </r>
  <r>
    <x v="73"/>
    <n v="46"/>
    <x v="1"/>
    <x v="0"/>
    <x v="0"/>
    <x v="4"/>
    <s v="26-03-2026"/>
    <s v="30-03-2026"/>
    <x v="4"/>
    <x v="0"/>
    <x v="73"/>
    <x v="0"/>
    <x v="0"/>
  </r>
  <r>
    <x v="74"/>
    <n v="64"/>
    <x v="2"/>
    <x v="0"/>
    <x v="4"/>
    <x v="2"/>
    <s v="20-03-2026"/>
    <s v="23-03-2026"/>
    <x v="0"/>
    <x v="0"/>
    <x v="74"/>
    <x v="1"/>
    <x v="2"/>
  </r>
  <r>
    <x v="75"/>
    <n v="24"/>
    <x v="0"/>
    <x v="1"/>
    <x v="0"/>
    <x v="9"/>
    <s v="15-03-2026"/>
    <s v="18-03-2026"/>
    <x v="0"/>
    <x v="0"/>
    <x v="75"/>
    <x v="1"/>
    <x v="2"/>
  </r>
  <r>
    <x v="76"/>
    <n v="48"/>
    <x v="1"/>
    <x v="0"/>
    <x v="1"/>
    <x v="7"/>
    <s v="21-03-2026"/>
    <s v="28-03-2026"/>
    <x v="5"/>
    <x v="2"/>
    <x v="76"/>
    <x v="0"/>
    <x v="3"/>
  </r>
  <r>
    <x v="77"/>
    <n v="45"/>
    <x v="1"/>
    <x v="0"/>
    <x v="0"/>
    <x v="5"/>
    <s v="17-03-2026"/>
    <s v="23-03-2026"/>
    <x v="1"/>
    <x v="0"/>
    <x v="77"/>
    <x v="0"/>
    <x v="0"/>
  </r>
  <r>
    <x v="78"/>
    <n v="58"/>
    <x v="1"/>
    <x v="0"/>
    <x v="2"/>
    <x v="7"/>
    <s v="05-03-2026"/>
    <s v="11-03-2026"/>
    <x v="1"/>
    <x v="0"/>
    <x v="78"/>
    <x v="1"/>
    <x v="4"/>
  </r>
  <r>
    <x v="79"/>
    <n v="68"/>
    <x v="2"/>
    <x v="1"/>
    <x v="3"/>
    <x v="4"/>
    <s v="29-03-2026"/>
    <s v="02-04-2026"/>
    <x v="4"/>
    <x v="0"/>
    <x v="79"/>
    <x v="1"/>
    <x v="1"/>
  </r>
  <r>
    <x v="80"/>
    <n v="22"/>
    <x v="0"/>
    <x v="0"/>
    <x v="4"/>
    <x v="7"/>
    <s v="12-03-2026"/>
    <s v="16-03-2026"/>
    <x v="4"/>
    <x v="0"/>
    <x v="80"/>
    <x v="1"/>
    <x v="3"/>
  </r>
  <r>
    <x v="81"/>
    <n v="44"/>
    <x v="1"/>
    <x v="0"/>
    <x v="0"/>
    <x v="8"/>
    <s v="06-03-2026"/>
    <s v="11-03-2026"/>
    <x v="6"/>
    <x v="0"/>
    <x v="81"/>
    <x v="0"/>
    <x v="3"/>
  </r>
  <r>
    <x v="82"/>
    <n v="37"/>
    <x v="1"/>
    <x v="0"/>
    <x v="3"/>
    <x v="8"/>
    <s v="06-03-2026"/>
    <s v="11-03-2026"/>
    <x v="6"/>
    <x v="0"/>
    <x v="82"/>
    <x v="1"/>
    <x v="2"/>
  </r>
  <r>
    <x v="83"/>
    <n v="48"/>
    <x v="1"/>
    <x v="1"/>
    <x v="4"/>
    <x v="3"/>
    <s v="24-03-2026"/>
    <s v="29-03-2026"/>
    <x v="6"/>
    <x v="0"/>
    <x v="83"/>
    <x v="0"/>
    <x v="3"/>
  </r>
  <r>
    <x v="84"/>
    <n v="38"/>
    <x v="1"/>
    <x v="1"/>
    <x v="1"/>
    <x v="5"/>
    <s v="26-03-2026"/>
    <s v="31-03-2026"/>
    <x v="6"/>
    <x v="0"/>
    <x v="84"/>
    <x v="1"/>
    <x v="1"/>
  </r>
  <r>
    <x v="85"/>
    <n v="54"/>
    <x v="1"/>
    <x v="0"/>
    <x v="0"/>
    <x v="0"/>
    <s v="02-03-2026"/>
    <s v="06-03-2026"/>
    <x v="4"/>
    <x v="0"/>
    <x v="85"/>
    <x v="1"/>
    <x v="3"/>
  </r>
  <r>
    <x v="86"/>
    <n v="38"/>
    <x v="1"/>
    <x v="0"/>
    <x v="4"/>
    <x v="5"/>
    <s v="08-03-2026"/>
    <s v="16-03-2026"/>
    <x v="3"/>
    <x v="2"/>
    <x v="86"/>
    <x v="0"/>
    <x v="4"/>
  </r>
  <r>
    <x v="87"/>
    <n v="30"/>
    <x v="1"/>
    <x v="1"/>
    <x v="2"/>
    <x v="2"/>
    <s v="19-03-2026"/>
    <s v="26-03-2026"/>
    <x v="5"/>
    <x v="2"/>
    <x v="87"/>
    <x v="0"/>
    <x v="0"/>
  </r>
  <r>
    <x v="88"/>
    <n v="49"/>
    <x v="1"/>
    <x v="1"/>
    <x v="3"/>
    <x v="4"/>
    <s v="22-03-2026"/>
    <s v="30-03-2026"/>
    <x v="3"/>
    <x v="2"/>
    <x v="88"/>
    <x v="0"/>
    <x v="0"/>
  </r>
  <r>
    <x v="89"/>
    <n v="42"/>
    <x v="1"/>
    <x v="0"/>
    <x v="3"/>
    <x v="1"/>
    <s v="31-03-2026"/>
    <s v="02-04-2026"/>
    <x v="2"/>
    <x v="1"/>
    <x v="89"/>
    <x v="1"/>
    <x v="2"/>
  </r>
  <r>
    <x v="90"/>
    <n v="46"/>
    <x v="1"/>
    <x v="1"/>
    <x v="3"/>
    <x v="9"/>
    <s v="27-03-2026"/>
    <s v="31-03-2026"/>
    <x v="4"/>
    <x v="0"/>
    <x v="90"/>
    <x v="0"/>
    <x v="1"/>
  </r>
  <r>
    <x v="91"/>
    <n v="20"/>
    <x v="0"/>
    <x v="0"/>
    <x v="2"/>
    <x v="1"/>
    <s v="30-03-2026"/>
    <s v="01-04-2026"/>
    <x v="2"/>
    <x v="1"/>
    <x v="91"/>
    <x v="0"/>
    <x v="2"/>
  </r>
  <r>
    <x v="92"/>
    <n v="42"/>
    <x v="1"/>
    <x v="1"/>
    <x v="1"/>
    <x v="0"/>
    <s v="20-03-2026"/>
    <s v="27-03-2026"/>
    <x v="5"/>
    <x v="2"/>
    <x v="92"/>
    <x v="1"/>
    <x v="0"/>
  </r>
  <r>
    <x v="93"/>
    <n v="21"/>
    <x v="0"/>
    <x v="1"/>
    <x v="1"/>
    <x v="5"/>
    <s v="22-03-2026"/>
    <s v="29-03-2026"/>
    <x v="5"/>
    <x v="2"/>
    <x v="93"/>
    <x v="0"/>
    <x v="0"/>
  </r>
  <r>
    <x v="94"/>
    <n v="23"/>
    <x v="0"/>
    <x v="0"/>
    <x v="2"/>
    <x v="7"/>
    <s v="24-03-2026"/>
    <s v="30-03-2026"/>
    <x v="1"/>
    <x v="0"/>
    <x v="94"/>
    <x v="0"/>
    <x v="1"/>
  </r>
  <r>
    <x v="95"/>
    <n v="50"/>
    <x v="1"/>
    <x v="1"/>
    <x v="0"/>
    <x v="4"/>
    <s v="19-03-2026"/>
    <s v="21-03-2026"/>
    <x v="2"/>
    <x v="1"/>
    <x v="95"/>
    <x v="1"/>
    <x v="4"/>
  </r>
  <r>
    <x v="96"/>
    <n v="30"/>
    <x v="1"/>
    <x v="0"/>
    <x v="4"/>
    <x v="7"/>
    <s v="14-03-2026"/>
    <s v="20-03-2026"/>
    <x v="1"/>
    <x v="0"/>
    <x v="96"/>
    <x v="0"/>
    <x v="3"/>
  </r>
  <r>
    <x v="97"/>
    <n v="61"/>
    <x v="2"/>
    <x v="1"/>
    <x v="1"/>
    <x v="1"/>
    <s v="21-03-2026"/>
    <s v="27-03-2026"/>
    <x v="1"/>
    <x v="0"/>
    <x v="97"/>
    <x v="0"/>
    <x v="0"/>
  </r>
  <r>
    <x v="98"/>
    <n v="67"/>
    <x v="2"/>
    <x v="0"/>
    <x v="2"/>
    <x v="4"/>
    <s v="05-03-2026"/>
    <s v="13-03-2026"/>
    <x v="3"/>
    <x v="2"/>
    <x v="98"/>
    <x v="1"/>
    <x v="4"/>
  </r>
  <r>
    <x v="99"/>
    <n v="25"/>
    <x v="0"/>
    <x v="1"/>
    <x v="2"/>
    <x v="5"/>
    <s v="30-03-2026"/>
    <s v="01-04-2026"/>
    <x v="2"/>
    <x v="1"/>
    <x v="99"/>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892B73-1395-4496-BB3A-A1C5DF48C44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5" firstHeaderRow="1" firstDataRow="1" firstDataCol="1"/>
  <pivotFields count="13">
    <pivotField dataField="1" showAll="0"/>
    <pivotField showAll="0"/>
    <pivotField showAll="0">
      <items count="4">
        <item x="1"/>
        <item x="0"/>
        <item x="2"/>
        <item t="default"/>
      </items>
    </pivotField>
    <pivotField axis="axisRow" showAll="0">
      <items count="3">
        <item x="1"/>
        <item x="0"/>
        <item t="default"/>
      </items>
    </pivotField>
    <pivotField showAll="0">
      <items count="6">
        <item x="2"/>
        <item x="1"/>
        <item x="4"/>
        <item x="3"/>
        <item x="0"/>
        <item t="default"/>
      </items>
    </pivotField>
    <pivotField showAll="0">
      <items count="11">
        <item x="5"/>
        <item x="7"/>
        <item x="8"/>
        <item x="2"/>
        <item x="1"/>
        <item x="9"/>
        <item x="6"/>
        <item x="0"/>
        <item x="3"/>
        <item x="4"/>
        <item t="default"/>
      </items>
    </pivotField>
    <pivotField showAll="0"/>
    <pivotField showAll="0"/>
    <pivotField showAll="0">
      <items count="8">
        <item x="2"/>
        <item x="0"/>
        <item x="4"/>
        <item x="6"/>
        <item x="1"/>
        <item x="5"/>
        <item x="3"/>
        <item t="default"/>
      </items>
    </pivotField>
    <pivotField showAll="0"/>
    <pivotField showAll="0">
      <items count="101">
        <item x="82"/>
        <item x="81"/>
        <item x="36"/>
        <item x="98"/>
        <item x="63"/>
        <item x="30"/>
        <item x="6"/>
        <item x="50"/>
        <item x="29"/>
        <item x="87"/>
        <item x="62"/>
        <item x="13"/>
        <item x="78"/>
        <item x="23"/>
        <item x="80"/>
        <item x="4"/>
        <item x="42"/>
        <item x="91"/>
        <item x="33"/>
        <item x="5"/>
        <item x="86"/>
        <item x="58"/>
        <item x="26"/>
        <item x="53"/>
        <item x="73"/>
        <item x="45"/>
        <item x="67"/>
        <item x="64"/>
        <item x="11"/>
        <item x="71"/>
        <item x="22"/>
        <item x="24"/>
        <item x="15"/>
        <item x="65"/>
        <item x="77"/>
        <item x="72"/>
        <item x="97"/>
        <item x="41"/>
        <item x="39"/>
        <item x="34"/>
        <item x="7"/>
        <item x="83"/>
        <item x="0"/>
        <item x="90"/>
        <item x="19"/>
        <item x="66"/>
        <item x="43"/>
        <item x="75"/>
        <item x="8"/>
        <item x="92"/>
        <item x="68"/>
        <item x="3"/>
        <item x="56"/>
        <item x="25"/>
        <item x="21"/>
        <item x="2"/>
        <item x="38"/>
        <item x="61"/>
        <item x="99"/>
        <item x="40"/>
        <item x="94"/>
        <item x="69"/>
        <item x="47"/>
        <item x="28"/>
        <item x="60"/>
        <item x="70"/>
        <item x="48"/>
        <item x="16"/>
        <item x="88"/>
        <item x="37"/>
        <item x="9"/>
        <item x="74"/>
        <item x="95"/>
        <item x="17"/>
        <item x="59"/>
        <item x="27"/>
        <item x="35"/>
        <item x="54"/>
        <item x="46"/>
        <item x="55"/>
        <item x="12"/>
        <item x="96"/>
        <item x="20"/>
        <item x="85"/>
        <item x="76"/>
        <item x="10"/>
        <item x="57"/>
        <item x="51"/>
        <item x="31"/>
        <item x="32"/>
        <item x="84"/>
        <item x="52"/>
        <item x="44"/>
        <item x="93"/>
        <item x="14"/>
        <item x="79"/>
        <item x="18"/>
        <item x="89"/>
        <item x="1"/>
        <item x="49"/>
        <item t="default"/>
      </items>
    </pivotField>
    <pivotField showAll="0">
      <items count="3">
        <item x="0"/>
        <item x="1"/>
        <item t="default"/>
      </items>
    </pivotField>
    <pivotField showAll="0">
      <items count="6">
        <item x="2"/>
        <item x="4"/>
        <item x="0"/>
        <item x="1"/>
        <item x="3"/>
        <item t="default"/>
      </items>
    </pivotField>
  </pivotFields>
  <rowFields count="1">
    <field x="3"/>
  </rowFields>
  <rowItems count="2">
    <i>
      <x/>
    </i>
    <i>
      <x v="1"/>
    </i>
  </rowItems>
  <colItems count="1">
    <i/>
  </colItems>
  <dataFields count="1">
    <dataField name="Count of Patien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0"/>
          </reference>
        </references>
      </pivotArea>
    </chartFormat>
    <chartFormat chart="12"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CA5A07-4043-44A7-B67D-8FA7D8CF3A6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6" firstHeaderRow="1" firstDataRow="1" firstDataCol="1"/>
  <pivotFields count="13">
    <pivotField dataField="1" showAll="0"/>
    <pivotField showAll="0"/>
    <pivotField showAll="0">
      <items count="4">
        <item x="1"/>
        <item x="0"/>
        <item x="2"/>
        <item t="default"/>
      </items>
    </pivotField>
    <pivotField showAll="0"/>
    <pivotField showAll="0">
      <items count="6">
        <item x="2"/>
        <item x="1"/>
        <item x="4"/>
        <item x="3"/>
        <item x="0"/>
        <item t="default"/>
      </items>
    </pivotField>
    <pivotField showAll="0">
      <items count="11">
        <item x="5"/>
        <item x="7"/>
        <item x="8"/>
        <item x="2"/>
        <item x="1"/>
        <item x="9"/>
        <item x="6"/>
        <item x="0"/>
        <item x="3"/>
        <item x="4"/>
        <item t="default"/>
      </items>
    </pivotField>
    <pivotField showAll="0"/>
    <pivotField showAll="0"/>
    <pivotField showAll="0">
      <items count="8">
        <item x="2"/>
        <item x="0"/>
        <item x="4"/>
        <item x="6"/>
        <item x="1"/>
        <item x="5"/>
        <item x="3"/>
        <item t="default"/>
      </items>
    </pivotField>
    <pivotField axis="axisRow" showAll="0">
      <items count="4">
        <item x="1"/>
        <item x="0"/>
        <item x="2"/>
        <item t="default"/>
      </items>
    </pivotField>
    <pivotField showAll="0"/>
    <pivotField showAll="0">
      <items count="3">
        <item x="0"/>
        <item x="1"/>
        <item t="default"/>
      </items>
    </pivotField>
    <pivotField showAll="0">
      <items count="6">
        <item x="2"/>
        <item x="4"/>
        <item x="0"/>
        <item x="1"/>
        <item x="3"/>
        <item t="default"/>
      </items>
    </pivotField>
  </pivotFields>
  <rowFields count="1">
    <field x="9"/>
  </rowFields>
  <rowItems count="3">
    <i>
      <x/>
    </i>
    <i>
      <x v="1"/>
    </i>
    <i>
      <x v="2"/>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63F15F-0ACA-499A-8144-B846E89F023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8" firstHeaderRow="1" firstDataRow="1" firstDataCol="1"/>
  <pivotFields count="13">
    <pivotField showAll="0"/>
    <pivotField showAll="0"/>
    <pivotField showAll="0">
      <items count="4">
        <item x="1"/>
        <item x="0"/>
        <item x="2"/>
        <item t="default"/>
      </items>
    </pivotField>
    <pivotField showAll="0"/>
    <pivotField axis="axisRow" showAll="0">
      <items count="6">
        <item x="2"/>
        <item x="1"/>
        <item x="4"/>
        <item x="3"/>
        <item x="0"/>
        <item t="default"/>
      </items>
    </pivotField>
    <pivotField showAll="0">
      <items count="11">
        <item x="5"/>
        <item x="7"/>
        <item x="8"/>
        <item x="2"/>
        <item x="1"/>
        <item x="9"/>
        <item x="6"/>
        <item x="0"/>
        <item x="3"/>
        <item x="4"/>
        <item t="default"/>
      </items>
    </pivotField>
    <pivotField showAll="0"/>
    <pivotField showAll="0"/>
    <pivotField dataField="1" showAll="0">
      <items count="8">
        <item x="2"/>
        <item x="0"/>
        <item x="4"/>
        <item x="6"/>
        <item x="1"/>
        <item x="5"/>
        <item x="3"/>
        <item t="default"/>
      </items>
    </pivotField>
    <pivotField showAll="0"/>
    <pivotField showAll="0"/>
    <pivotField showAll="0">
      <items count="3">
        <item x="0"/>
        <item x="1"/>
        <item t="default"/>
      </items>
    </pivotField>
    <pivotField showAll="0">
      <items count="6">
        <item x="2"/>
        <item x="4"/>
        <item x="0"/>
        <item x="1"/>
        <item x="3"/>
        <item t="default"/>
      </items>
    </pivotField>
  </pivotFields>
  <rowFields count="1">
    <field x="4"/>
  </rowFields>
  <rowItems count="5">
    <i>
      <x/>
    </i>
    <i>
      <x v="1"/>
    </i>
    <i>
      <x v="2"/>
    </i>
    <i>
      <x v="3"/>
    </i>
    <i>
      <x v="4"/>
    </i>
  </rowItems>
  <colItems count="1">
    <i/>
  </colItems>
  <dataFields count="1">
    <dataField name="Sum of Stay_Days" fld="8" baseField="0" baseItem="0"/>
  </dataFields>
  <chartFormats count="2">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6F8A20-D73C-42BF-A46D-75F9794A756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13">
    <pivotField showAll="0"/>
    <pivotField showAll="0"/>
    <pivotField showAll="0">
      <items count="4">
        <item x="1"/>
        <item x="0"/>
        <item x="2"/>
        <item t="default"/>
      </items>
    </pivotField>
    <pivotField showAll="0"/>
    <pivotField axis="axisRow" showAll="0">
      <items count="6">
        <item x="2"/>
        <item x="1"/>
        <item x="4"/>
        <item x="3"/>
        <item x="0"/>
        <item t="default"/>
      </items>
    </pivotField>
    <pivotField showAll="0">
      <items count="11">
        <item x="5"/>
        <item x="7"/>
        <item x="8"/>
        <item x="2"/>
        <item x="1"/>
        <item x="9"/>
        <item x="6"/>
        <item x="0"/>
        <item x="3"/>
        <item x="4"/>
        <item t="default"/>
      </items>
    </pivotField>
    <pivotField showAll="0"/>
    <pivotField showAll="0"/>
    <pivotField showAll="0">
      <items count="8">
        <item x="2"/>
        <item x="0"/>
        <item x="4"/>
        <item x="6"/>
        <item x="1"/>
        <item x="5"/>
        <item x="3"/>
        <item t="default"/>
      </items>
    </pivotField>
    <pivotField showAll="0"/>
    <pivotField dataField="1" showAll="0"/>
    <pivotField showAll="0">
      <items count="3">
        <item x="0"/>
        <item x="1"/>
        <item t="default"/>
      </items>
    </pivotField>
    <pivotField showAll="0">
      <items count="6">
        <item x="2"/>
        <item x="4"/>
        <item x="0"/>
        <item x="1"/>
        <item x="3"/>
        <item t="default"/>
      </items>
    </pivotField>
  </pivotFields>
  <rowFields count="1">
    <field x="4"/>
  </rowFields>
  <rowItems count="5">
    <i>
      <x/>
    </i>
    <i>
      <x v="1"/>
    </i>
    <i>
      <x v="2"/>
    </i>
    <i>
      <x v="3"/>
    </i>
    <i>
      <x v="4"/>
    </i>
  </rowItems>
  <colItems count="1">
    <i/>
  </colItems>
  <dataFields count="1">
    <dataField name="Sum of Treatment_Cost" fld="10" showDataAs="percentOfCol" baseField="0" baseItem="0" numFmtId="1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4"/>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 chart="2" format="11">
      <pivotArea type="data" outline="0" fieldPosition="0">
        <references count="2">
          <reference field="4294967294" count="1" selected="0">
            <x v="0"/>
          </reference>
          <reference field="4"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0"/>
          </reference>
        </references>
      </pivotArea>
    </chartFormat>
    <chartFormat chart="3" format="14">
      <pivotArea type="data" outline="0" fieldPosition="0">
        <references count="2">
          <reference field="4294967294" count="1" selected="0">
            <x v="0"/>
          </reference>
          <reference field="4" count="1" selected="0">
            <x v="1"/>
          </reference>
        </references>
      </pivotArea>
    </chartFormat>
    <chartFormat chart="3" format="15">
      <pivotArea type="data" outline="0" fieldPosition="0">
        <references count="2">
          <reference field="4294967294" count="1" selected="0">
            <x v="0"/>
          </reference>
          <reference field="4" count="1" selected="0">
            <x v="2"/>
          </reference>
        </references>
      </pivotArea>
    </chartFormat>
    <chartFormat chart="3" format="16">
      <pivotArea type="data" outline="0" fieldPosition="0">
        <references count="2">
          <reference field="4294967294" count="1" selected="0">
            <x v="0"/>
          </reference>
          <reference field="4" count="1" selected="0">
            <x v="3"/>
          </reference>
        </references>
      </pivotArea>
    </chartFormat>
    <chartFormat chart="3" format="17">
      <pivotArea type="data" outline="0" fieldPosition="0">
        <references count="2">
          <reference field="4294967294" count="1" selected="0">
            <x v="0"/>
          </reference>
          <reference field="4"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 count="1" selected="0">
            <x v="0"/>
          </reference>
        </references>
      </pivotArea>
    </chartFormat>
    <chartFormat chart="4" format="14">
      <pivotArea type="data" outline="0" fieldPosition="0">
        <references count="2">
          <reference field="4294967294" count="1" selected="0">
            <x v="0"/>
          </reference>
          <reference field="4" count="1" selected="0">
            <x v="1"/>
          </reference>
        </references>
      </pivotArea>
    </chartFormat>
    <chartFormat chart="4" format="15">
      <pivotArea type="data" outline="0" fieldPosition="0">
        <references count="2">
          <reference field="4294967294" count="1" selected="0">
            <x v="0"/>
          </reference>
          <reference field="4" count="1" selected="0">
            <x v="2"/>
          </reference>
        </references>
      </pivotArea>
    </chartFormat>
    <chartFormat chart="4" format="16">
      <pivotArea type="data" outline="0" fieldPosition="0">
        <references count="2">
          <reference field="4294967294" count="1" selected="0">
            <x v="0"/>
          </reference>
          <reference field="4" count="1" selected="0">
            <x v="3"/>
          </reference>
        </references>
      </pivotArea>
    </chartFormat>
    <chartFormat chart="4"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F7EC10-15E7-4524-823A-9962808BBD5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13" firstHeaderRow="1" firstDataRow="1" firstDataCol="1"/>
  <pivotFields count="13">
    <pivotField showAll="0"/>
    <pivotField showAll="0"/>
    <pivotField showAll="0">
      <items count="4">
        <item x="1"/>
        <item x="0"/>
        <item x="2"/>
        <item t="default"/>
      </items>
    </pivotField>
    <pivotField showAll="0"/>
    <pivotField showAll="0">
      <items count="6">
        <item x="2"/>
        <item x="1"/>
        <item x="4"/>
        <item x="3"/>
        <item x="0"/>
        <item t="default"/>
      </items>
    </pivotField>
    <pivotField axis="axisRow" showAll="0">
      <items count="11">
        <item x="5"/>
        <item x="7"/>
        <item x="8"/>
        <item x="2"/>
        <item x="1"/>
        <item x="9"/>
        <item x="6"/>
        <item x="0"/>
        <item x="3"/>
        <item x="4"/>
        <item t="default"/>
      </items>
    </pivotField>
    <pivotField showAll="0"/>
    <pivotField showAll="0"/>
    <pivotField showAll="0">
      <items count="8">
        <item x="2"/>
        <item x="0"/>
        <item x="4"/>
        <item x="6"/>
        <item x="1"/>
        <item x="5"/>
        <item x="3"/>
        <item t="default"/>
      </items>
    </pivotField>
    <pivotField showAll="0"/>
    <pivotField dataField="1" showAll="0"/>
    <pivotField showAll="0">
      <items count="3">
        <item x="0"/>
        <item x="1"/>
        <item t="default"/>
      </items>
    </pivotField>
    <pivotField showAll="0">
      <items count="6">
        <item x="2"/>
        <item x="4"/>
        <item x="0"/>
        <item x="1"/>
        <item x="3"/>
        <item t="default"/>
      </items>
    </pivotField>
  </pivotFields>
  <rowFields count="1">
    <field x="5"/>
  </rowFields>
  <rowItems count="10">
    <i>
      <x/>
    </i>
    <i>
      <x v="1"/>
    </i>
    <i>
      <x v="2"/>
    </i>
    <i>
      <x v="3"/>
    </i>
    <i>
      <x v="4"/>
    </i>
    <i>
      <x v="5"/>
    </i>
    <i>
      <x v="6"/>
    </i>
    <i>
      <x v="7"/>
    </i>
    <i>
      <x v="8"/>
    </i>
    <i>
      <x v="9"/>
    </i>
  </rowItems>
  <colItems count="1">
    <i/>
  </colItems>
  <dataFields count="1">
    <dataField name="Sum of Treatment_Cost" fld="10" showDataAs="percentOfCol" baseField="0" baseItem="0" numFmtId="10"/>
  </dataField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176CAE-4D4E-4CE9-842E-43E846994708}"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6" firstHeaderRow="1" firstDataRow="1" firstDataCol="1"/>
  <pivotFields count="13">
    <pivotField showAll="0"/>
    <pivotField showAll="0"/>
    <pivotField axis="axisRow" showAll="0">
      <items count="4">
        <item x="1"/>
        <item x="0"/>
        <item x="2"/>
        <item t="default"/>
      </items>
    </pivotField>
    <pivotField showAll="0"/>
    <pivotField showAll="0">
      <items count="6">
        <item x="2"/>
        <item x="1"/>
        <item x="4"/>
        <item x="3"/>
        <item x="0"/>
        <item t="default"/>
      </items>
    </pivotField>
    <pivotField showAll="0">
      <items count="11">
        <item x="5"/>
        <item x="7"/>
        <item x="8"/>
        <item x="2"/>
        <item x="1"/>
        <item x="9"/>
        <item x="6"/>
        <item x="0"/>
        <item x="3"/>
        <item x="4"/>
        <item t="default"/>
      </items>
    </pivotField>
    <pivotField showAll="0"/>
    <pivotField showAll="0"/>
    <pivotField showAll="0">
      <items count="8">
        <item x="2"/>
        <item x="0"/>
        <item x="4"/>
        <item x="6"/>
        <item x="1"/>
        <item x="5"/>
        <item x="3"/>
        <item t="default"/>
      </items>
    </pivotField>
    <pivotField dataField="1" showAll="0"/>
    <pivotField showAll="0"/>
    <pivotField showAll="0">
      <items count="3">
        <item x="0"/>
        <item x="1"/>
        <item t="default"/>
      </items>
    </pivotField>
    <pivotField showAll="0">
      <items count="6">
        <item x="2"/>
        <item x="4"/>
        <item x="0"/>
        <item x="1"/>
        <item x="3"/>
        <item t="default"/>
      </items>
    </pivotField>
  </pivotFields>
  <rowFields count="1">
    <field x="2"/>
  </rowFields>
  <rowItems count="3">
    <i>
      <x/>
    </i>
    <i>
      <x v="1"/>
    </i>
    <i>
      <x v="2"/>
    </i>
  </rowItems>
  <colItems count="1">
    <i/>
  </colItems>
  <dataFields count="1">
    <dataField name="Count of stay duration" fld="9"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70B285-3D28-48FB-9F4E-680AD19F1185}"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1" firstDataCol="1"/>
  <pivotFields count="13">
    <pivotField showAll="0"/>
    <pivotField showAll="0"/>
    <pivotField showAll="0">
      <items count="4">
        <item x="1"/>
        <item x="0"/>
        <item x="2"/>
        <item t="default"/>
      </items>
    </pivotField>
    <pivotField showAll="0"/>
    <pivotField showAll="0">
      <items count="6">
        <item x="2"/>
        <item x="1"/>
        <item x="4"/>
        <item x="3"/>
        <item x="0"/>
        <item t="default"/>
      </items>
    </pivotField>
    <pivotField showAll="0">
      <items count="11">
        <item x="5"/>
        <item x="7"/>
        <item x="8"/>
        <item x="2"/>
        <item x="1"/>
        <item x="9"/>
        <item x="6"/>
        <item x="0"/>
        <item x="3"/>
        <item x="4"/>
        <item t="default"/>
      </items>
    </pivotField>
    <pivotField showAll="0"/>
    <pivotField showAll="0"/>
    <pivotField showAll="0">
      <items count="8">
        <item x="2"/>
        <item x="0"/>
        <item x="4"/>
        <item x="6"/>
        <item x="1"/>
        <item x="5"/>
        <item x="3"/>
        <item t="default"/>
      </items>
    </pivotField>
    <pivotField showAll="0"/>
    <pivotField dataField="1" showAll="0"/>
    <pivotField showAll="0">
      <items count="3">
        <item x="0"/>
        <item x="1"/>
        <item t="default"/>
      </items>
    </pivotField>
    <pivotField axis="axisRow" showAll="0">
      <items count="6">
        <item x="2"/>
        <item x="4"/>
        <item x="0"/>
        <item x="1"/>
        <item x="3"/>
        <item t="default"/>
      </items>
    </pivotField>
  </pivotFields>
  <rowFields count="1">
    <field x="12"/>
  </rowFields>
  <rowItems count="5">
    <i>
      <x/>
    </i>
    <i>
      <x v="1"/>
    </i>
    <i>
      <x v="2"/>
    </i>
    <i>
      <x v="3"/>
    </i>
    <i>
      <x v="4"/>
    </i>
  </rowItems>
  <colItems count="1">
    <i/>
  </colItems>
  <dataFields count="1">
    <dataField name="Sum of Treatment_Cost" fld="10" showDataAs="percentOfTotal" baseField="0" baseItem="0" numFmtId="1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2" count="1" selected="0">
            <x v="0"/>
          </reference>
        </references>
      </pivotArea>
    </chartFormat>
    <chartFormat chart="6" format="10">
      <pivotArea type="data" outline="0" fieldPosition="0">
        <references count="2">
          <reference field="4294967294" count="1" selected="0">
            <x v="0"/>
          </reference>
          <reference field="12" count="1" selected="0">
            <x v="1"/>
          </reference>
        </references>
      </pivotArea>
    </chartFormat>
    <chartFormat chart="6" format="11">
      <pivotArea type="data" outline="0" fieldPosition="0">
        <references count="2">
          <reference field="4294967294" count="1" selected="0">
            <x v="0"/>
          </reference>
          <reference field="12" count="1" selected="0">
            <x v="2"/>
          </reference>
        </references>
      </pivotArea>
    </chartFormat>
    <chartFormat chart="6" format="12">
      <pivotArea type="data" outline="0" fieldPosition="0">
        <references count="2">
          <reference field="4294967294" count="1" selected="0">
            <x v="0"/>
          </reference>
          <reference field="12" count="1" selected="0">
            <x v="3"/>
          </reference>
        </references>
      </pivotArea>
    </chartFormat>
    <chartFormat chart="6" format="13">
      <pivotArea type="data" outline="0" fieldPosition="0">
        <references count="2">
          <reference field="4294967294" count="1" selected="0">
            <x v="0"/>
          </reference>
          <reference field="12" count="1" selected="0">
            <x v="4"/>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2" format="5">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9DD039-A1C3-444F-B312-11F0D6566201}"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5" firstHeaderRow="1" firstDataRow="1" firstDataCol="1"/>
  <pivotFields count="13">
    <pivotField showAll="0"/>
    <pivotField showAll="0"/>
    <pivotField showAll="0">
      <items count="4">
        <item x="1"/>
        <item x="0"/>
        <item x="2"/>
        <item t="default"/>
      </items>
    </pivotField>
    <pivotField showAll="0"/>
    <pivotField showAll="0">
      <items count="6">
        <item x="2"/>
        <item x="1"/>
        <item x="4"/>
        <item x="3"/>
        <item x="0"/>
        <item t="default"/>
      </items>
    </pivotField>
    <pivotField showAll="0">
      <items count="11">
        <item x="5"/>
        <item x="7"/>
        <item x="8"/>
        <item x="2"/>
        <item x="1"/>
        <item x="9"/>
        <item x="6"/>
        <item x="0"/>
        <item x="3"/>
        <item x="4"/>
        <item t="default"/>
      </items>
    </pivotField>
    <pivotField showAll="0"/>
    <pivotField showAll="0"/>
    <pivotField showAll="0">
      <items count="8">
        <item x="2"/>
        <item x="0"/>
        <item x="4"/>
        <item x="6"/>
        <item x="1"/>
        <item x="5"/>
        <item x="3"/>
        <item t="default"/>
      </items>
    </pivotField>
    <pivotField showAll="0"/>
    <pivotField dataField="1" showAll="0"/>
    <pivotField axis="axisRow" showAll="0">
      <items count="3">
        <item x="0"/>
        <item x="1"/>
        <item t="default"/>
      </items>
    </pivotField>
    <pivotField showAll="0">
      <items count="6">
        <item x="2"/>
        <item x="4"/>
        <item x="0"/>
        <item x="1"/>
        <item x="3"/>
        <item t="default"/>
      </items>
    </pivotField>
  </pivotFields>
  <rowFields count="1">
    <field x="11"/>
  </rowFields>
  <rowItems count="2">
    <i>
      <x/>
    </i>
    <i>
      <x v="1"/>
    </i>
  </rowItems>
  <colItems count="1">
    <i/>
  </colItems>
  <dataFields count="1">
    <dataField name="Average of Treatment_Cost" fld="10" subtotal="average" baseField="11" baseItem="0"/>
  </dataFields>
  <formats count="2">
    <format dxfId="49">
      <pivotArea collapsedLevelsAreSubtotals="1" fieldPosition="0">
        <references count="1">
          <reference field="11" count="1">
            <x v="1"/>
          </reference>
        </references>
      </pivotArea>
    </format>
    <format dxfId="48">
      <pivotArea collapsedLevelsAreSubtotals="1" fieldPosition="0">
        <references count="1">
          <reference field="11" count="1">
            <x v="0"/>
          </reference>
        </references>
      </pivotArea>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1"/>
          </reference>
        </references>
      </pivotArea>
    </chartFormat>
    <chartFormat chart="2" format="2">
      <pivotArea type="data" outline="0" fieldPosition="0">
        <references count="2">
          <reference field="4294967294" count="1" selected="0">
            <x v="0"/>
          </reference>
          <reference field="11"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1" count="1" selected="0">
            <x v="0"/>
          </reference>
        </references>
      </pivotArea>
    </chartFormat>
    <chartFormat chart="6"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6D0CC6-966A-4424-9F78-69E9D36794D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8" firstHeaderRow="1" firstDataRow="1" firstDataCol="1"/>
  <pivotFields count="13">
    <pivotField dataField="1" showAll="0"/>
    <pivotField showAll="0"/>
    <pivotField showAll="0">
      <items count="4">
        <item x="1"/>
        <item x="0"/>
        <item x="2"/>
        <item t="default"/>
      </items>
    </pivotField>
    <pivotField showAll="0"/>
    <pivotField axis="axisRow" showAll="0">
      <items count="6">
        <item x="2"/>
        <item x="1"/>
        <item x="4"/>
        <item x="3"/>
        <item x="0"/>
        <item t="default"/>
      </items>
    </pivotField>
    <pivotField showAll="0">
      <items count="11">
        <item x="5"/>
        <item x="7"/>
        <item x="8"/>
        <item x="2"/>
        <item x="1"/>
        <item x="9"/>
        <item x="6"/>
        <item x="0"/>
        <item x="3"/>
        <item x="4"/>
        <item t="default"/>
      </items>
    </pivotField>
    <pivotField showAll="0"/>
    <pivotField showAll="0"/>
    <pivotField showAll="0">
      <items count="8">
        <item x="2"/>
        <item x="0"/>
        <item x="4"/>
        <item x="6"/>
        <item x="1"/>
        <item x="5"/>
        <item x="3"/>
        <item t="default"/>
      </items>
    </pivotField>
    <pivotField showAll="0"/>
    <pivotField showAll="0"/>
    <pivotField showAll="0">
      <items count="3">
        <item x="0"/>
        <item x="1"/>
        <item t="default"/>
      </items>
    </pivotField>
    <pivotField showAll="0">
      <items count="6">
        <item x="2"/>
        <item x="4"/>
        <item x="0"/>
        <item x="1"/>
        <item x="3"/>
        <item t="default"/>
      </items>
    </pivotField>
  </pivotFields>
  <rowFields count="1">
    <field x="4"/>
  </rowFields>
  <rowItems count="5">
    <i>
      <x/>
    </i>
    <i>
      <x v="1"/>
    </i>
    <i>
      <x v="2"/>
    </i>
    <i>
      <x v="3"/>
    </i>
    <i>
      <x v="4"/>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DC0F178-9CE3-475C-9B2D-629B7C2FCE55}" sourceName="Age Group">
  <pivotTables>
    <pivotTable tabId="4" name="PivotTable4"/>
    <pivotTable tabId="7" name="PivotTable7"/>
    <pivotTable tabId="5" name="PivotTable5"/>
    <pivotTable tabId="12" name="PivotTable11"/>
    <pivotTable tabId="2" name="PivotTable2"/>
    <pivotTable tabId="10" name="PivotTable9"/>
    <pivotTable tabId="11" name="PivotTable10"/>
    <pivotTable tabId="14" name="PivotTable13"/>
    <pivotTable tabId="9" name="PivotTable8"/>
  </pivotTables>
  <data>
    <tabular pivotCacheId="46616527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25377E6-0F8B-49BA-BF46-3B0F5E781B3A}" sourceName="Department">
  <pivotTables>
    <pivotTable tabId="4" name="PivotTable4"/>
    <pivotTable tabId="7" name="PivotTable7"/>
    <pivotTable tabId="5" name="PivotTable5"/>
    <pivotTable tabId="12" name="PivotTable11"/>
    <pivotTable tabId="2" name="PivotTable2"/>
    <pivotTable tabId="10" name="PivotTable9"/>
    <pivotTable tabId="11" name="PivotTable10"/>
    <pivotTable tabId="14" name="PivotTable13"/>
    <pivotTable tabId="9" name="PivotTable8"/>
  </pivotTables>
  <data>
    <tabular pivotCacheId="466165274">
      <items count="5">
        <i x="2" s="1"/>
        <i x="1"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6F9F232D-A3E2-4C64-92A7-C20B2B3350B1}" sourceName="Disease">
  <pivotTables>
    <pivotTable tabId="4" name="PivotTable4"/>
    <pivotTable tabId="7" name="PivotTable7"/>
    <pivotTable tabId="5" name="PivotTable5"/>
    <pivotTable tabId="12" name="PivotTable11"/>
    <pivotTable tabId="2" name="PivotTable2"/>
    <pivotTable tabId="10" name="PivotTable9"/>
    <pivotTable tabId="11" name="PivotTable10"/>
    <pivotTable tabId="14" name="PivotTable13"/>
    <pivotTable tabId="9" name="PivotTable8"/>
  </pivotTables>
  <data>
    <tabular pivotCacheId="466165274">
      <items count="10">
        <i x="5" s="1"/>
        <i x="7" s="1"/>
        <i x="8" s="1"/>
        <i x="2" s="1"/>
        <i x="1" s="1"/>
        <i x="9" s="1"/>
        <i x="6" s="1"/>
        <i x="0"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y_Days" xr10:uid="{448418D7-4C45-4660-B3DE-E15880E355E5}" sourceName="Stay_Days">
  <pivotTables>
    <pivotTable tabId="4" name="PivotTable4"/>
    <pivotTable tabId="7" name="PivotTable7"/>
    <pivotTable tabId="5" name="PivotTable5"/>
    <pivotTable tabId="12" name="PivotTable11"/>
    <pivotTable tabId="2" name="PivotTable2"/>
    <pivotTable tabId="10" name="PivotTable9"/>
    <pivotTable tabId="11" name="PivotTable10"/>
    <pivotTable tabId="14" name="PivotTable13"/>
    <pivotTable tabId="9" name="PivotTable8"/>
  </pivotTables>
  <data>
    <tabular pivotCacheId="466165274">
      <items count="7">
        <i x="2" s="1"/>
        <i x="0" s="1"/>
        <i x="4" s="1"/>
        <i x="6" s="1"/>
        <i x="1" s="1"/>
        <i x="5"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0882C6C-9012-453E-8BB4-AB0F0FBFC0AE}" sourceName="Payment_Mode">
  <pivotTables>
    <pivotTable tabId="4" name="PivotTable4"/>
    <pivotTable tabId="7" name="PivotTable7"/>
    <pivotTable tabId="5" name="PivotTable5"/>
    <pivotTable tabId="12" name="PivotTable11"/>
    <pivotTable tabId="2" name="PivotTable2"/>
    <pivotTable tabId="10" name="PivotTable9"/>
    <pivotTable tabId="11" name="PivotTable10"/>
    <pivotTable tabId="14" name="PivotTable13"/>
    <pivotTable tabId="9" name="PivotTable8"/>
  </pivotTables>
  <data>
    <tabular pivotCacheId="466165274">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BD37347-1D74-4325-AFF6-BF9CC70A191D}" sourceName="City">
  <pivotTables>
    <pivotTable tabId="4" name="PivotTable4"/>
    <pivotTable tabId="7" name="PivotTable7"/>
    <pivotTable tabId="5" name="PivotTable5"/>
    <pivotTable tabId="12" name="PivotTable11"/>
    <pivotTable tabId="2" name="PivotTable2"/>
    <pivotTable tabId="10" name="PivotTable9"/>
    <pivotTable tabId="11" name="PivotTable10"/>
    <pivotTable tabId="14" name="PivotTable13"/>
    <pivotTable tabId="9" name="PivotTable8"/>
  </pivotTables>
  <data>
    <tabular pivotCacheId="466165274">
      <items count="5">
        <i x="2" s="1"/>
        <i x="4"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B3E2A273-6BEF-4CA6-9E1D-432FF52ED648}" cache="Slicer_Age_Group" caption="Age Group" rowHeight="234950"/>
  <slicer name="Department" xr10:uid="{B46C9DCA-99D6-4D75-8339-3901A826E56F}" cache="Slicer_Department" caption="Department" rowHeight="234950"/>
  <slicer name="Disease" xr10:uid="{201391B7-D22C-459C-B0B1-A3F974266677}" cache="Slicer_Disease" caption="Disease" rowHeight="234950"/>
  <slicer name="Stay_Days" xr10:uid="{2D96D821-A8B7-4F1D-B9C7-5E13AC782A98}" cache="Slicer_Stay_Days" caption="Stay_Days" rowHeight="234950"/>
  <slicer name="Payment_Mode" xr10:uid="{9E6BEC7B-5050-4AA2-86CE-D230F0A90132}" cache="Slicer_Payment_Mode" caption="Payment_Mode" rowHeight="234950"/>
  <slicer name="City" xr10:uid="{1285F13E-88B2-40AF-84F7-8876FEBA81C3}"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9B10F6-F51A-4C90-9E6A-171BC02D1A34}" name="Table1" displayName="Table1" ref="A1:M101" totalsRowShown="0" headerRowDxfId="64" dataDxfId="63">
  <autoFilter ref="A1:M101" xr:uid="{C29B10F6-F51A-4C90-9E6A-171BC02D1A34}"/>
  <tableColumns count="13">
    <tableColumn id="1" xr3:uid="{6E65A2BF-F196-494D-A7BA-BA9FB2FB131E}" name="Patient_ID" dataDxfId="62"/>
    <tableColumn id="2" xr3:uid="{AE445FE2-1A5F-4D64-87D5-CAB23A3285BD}" name="Age" dataDxfId="61"/>
    <tableColumn id="12" xr3:uid="{E2516D49-9A30-41ED-9FF4-FAD4A5F52645}" name="Age Group" dataDxfId="60">
      <calculatedColumnFormula>IF(Table1[[#This Row],[Age]]&gt;60,"Elder",IF(Table1[[#This Row],[Age]]&gt;25,"Adult","Children"))</calculatedColumnFormula>
    </tableColumn>
    <tableColumn id="3" xr3:uid="{E6C4A5F3-5941-4DD9-8BD2-D994AA889A7E}" name="Gender" dataDxfId="59"/>
    <tableColumn id="4" xr3:uid="{CD13814F-706A-4150-9D0B-A9930CE03D5A}" name="Department" dataDxfId="58"/>
    <tableColumn id="5" xr3:uid="{2F688A1B-AA55-4C8F-879B-9FA9677D3BF4}" name="Disease" dataDxfId="57"/>
    <tableColumn id="6" xr3:uid="{30C39BEA-6998-41A7-871B-9985C67705C2}" name="Admission_Date" dataDxfId="56"/>
    <tableColumn id="7" xr3:uid="{4C92647C-94F0-4003-B7E1-6DA520669D19}" name="Discharge_Date" dataDxfId="55"/>
    <tableColumn id="8" xr3:uid="{74EEAEE8-9379-44BD-A72A-0FC6C2CF3F70}" name="Stay_Days" dataDxfId="54"/>
    <tableColumn id="14" xr3:uid="{56702764-8FA2-4C06-B03A-95E4826AD196}" name="stay duration" dataDxfId="53">
      <calculatedColumnFormula>IF(Table1[[#This Row],[Stay_Days]]&lt;3,"Acute_pt.",IF(Table1[[#This Row],[Stay_Days]]&gt;6,"Intermediate_pt.","Chronic_pt."))</calculatedColumnFormula>
    </tableColumn>
    <tableColumn id="9" xr3:uid="{2382DC37-DBBD-40A1-820D-91B54D25049E}" name="Treatment_Cost" dataDxfId="52"/>
    <tableColumn id="10" xr3:uid="{A21B7BEB-60EB-4470-BC70-87970D20F01E}" name="Payment_Mode" dataDxfId="51"/>
    <tableColumn id="11" xr3:uid="{829C3BE0-0DBF-4090-B6F0-97DF86B4EA37}" name="City" dataDxfId="5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opLeftCell="A3" zoomScale="115" zoomScaleNormal="115" workbookViewId="0">
      <selection activeCell="L20" sqref="L20"/>
    </sheetView>
  </sheetViews>
  <sheetFormatPr defaultRowHeight="14.4" x14ac:dyDescent="0.3"/>
  <cols>
    <col min="1" max="1" width="11.6640625" customWidth="1"/>
    <col min="5" max="5" width="12.88671875" customWidth="1"/>
    <col min="6" max="6" width="9.109375" customWidth="1"/>
    <col min="7" max="7" width="16.44140625" customWidth="1"/>
    <col min="8" max="8" width="15.88671875" customWidth="1"/>
    <col min="9" max="9" width="11.21875" customWidth="1"/>
    <col min="10" max="10" width="16.21875" customWidth="1"/>
    <col min="11" max="11" width="16.109375" customWidth="1"/>
  </cols>
  <sheetData>
    <row r="1" spans="1:13" x14ac:dyDescent="0.3">
      <c r="A1" t="s">
        <v>0</v>
      </c>
      <c r="B1" t="s">
        <v>1</v>
      </c>
      <c r="C1" t="s">
        <v>172</v>
      </c>
      <c r="D1" t="s">
        <v>2</v>
      </c>
      <c r="E1" t="s">
        <v>3</v>
      </c>
      <c r="F1" t="s">
        <v>4</v>
      </c>
      <c r="G1" t="s">
        <v>5</v>
      </c>
      <c r="H1" t="s">
        <v>6</v>
      </c>
      <c r="I1" t="s">
        <v>7</v>
      </c>
      <c r="J1" t="s">
        <v>173</v>
      </c>
      <c r="K1" t="s">
        <v>8</v>
      </c>
      <c r="L1" t="s">
        <v>9</v>
      </c>
      <c r="M1" t="s">
        <v>10</v>
      </c>
    </row>
    <row r="2" spans="1:13" x14ac:dyDescent="0.3">
      <c r="A2" s="1" t="s">
        <v>11</v>
      </c>
      <c r="B2" s="1">
        <v>23</v>
      </c>
      <c r="C2" s="1" t="str">
        <f>IF(Table1[[#This Row],[Age]]&gt;60,"Elder",IF(Table1[[#This Row],[Age]]&gt;25,"Adult","Children"))</f>
        <v>Children</v>
      </c>
      <c r="D2" s="1" t="s">
        <v>12</v>
      </c>
      <c r="E2" s="1" t="s">
        <v>13</v>
      </c>
      <c r="F2" s="1" t="s">
        <v>14</v>
      </c>
      <c r="G2" s="1" t="s">
        <v>15</v>
      </c>
      <c r="H2" s="1" t="s">
        <v>16</v>
      </c>
      <c r="I2" s="1">
        <v>3</v>
      </c>
      <c r="J2" s="1" t="str">
        <f>IF(Table1[[#This Row],[Stay_Days]]&lt;3,"Acute_pt.",IF(Table1[[#This Row],[Stay_Days]]&gt;6,"Intermediate_pt.","Chronic_pt."))</f>
        <v>Chronic_pt.</v>
      </c>
      <c r="K2" s="1">
        <v>57149</v>
      </c>
      <c r="L2" s="1" t="s">
        <v>17</v>
      </c>
      <c r="M2" s="1" t="s">
        <v>18</v>
      </c>
    </row>
    <row r="3" spans="1:13" x14ac:dyDescent="0.3">
      <c r="A3" s="1" t="s">
        <v>19</v>
      </c>
      <c r="B3" s="1">
        <v>21</v>
      </c>
      <c r="C3" s="1" t="str">
        <f>IF(Table1[[#This Row],[Age]]&gt;60,"Elder",IF(Table1[[#This Row],[Age]]&gt;25,"Adult","Children"))</f>
        <v>Children</v>
      </c>
      <c r="D3" s="1" t="s">
        <v>12</v>
      </c>
      <c r="E3" s="1" t="s">
        <v>20</v>
      </c>
      <c r="F3" s="1" t="s">
        <v>21</v>
      </c>
      <c r="G3" s="1" t="s">
        <v>22</v>
      </c>
      <c r="H3" s="1" t="s">
        <v>23</v>
      </c>
      <c r="I3" s="1">
        <v>3</v>
      </c>
      <c r="J3" s="1" t="str">
        <f>IF(Table1[[#This Row],[Stay_Days]]&lt;3,"Acute_pt.",IF(Table1[[#This Row],[Stay_Days]]&gt;6,"Intermediate_pt.","Chronic_pt."))</f>
        <v>Chronic_pt.</v>
      </c>
      <c r="K3" s="1">
        <v>98636</v>
      </c>
      <c r="L3" s="1" t="s">
        <v>24</v>
      </c>
      <c r="M3" s="1" t="s">
        <v>25</v>
      </c>
    </row>
    <row r="4" spans="1:13" x14ac:dyDescent="0.3">
      <c r="A4" s="1" t="s">
        <v>26</v>
      </c>
      <c r="B4" s="1">
        <v>34</v>
      </c>
      <c r="C4" s="1" t="str">
        <f>IF(Table1[[#This Row],[Age]]&gt;60,"Elder",IF(Table1[[#This Row],[Age]]&gt;25,"Adult","Children"))</f>
        <v>Adult</v>
      </c>
      <c r="D4" s="1" t="s">
        <v>12</v>
      </c>
      <c r="E4" s="1" t="s">
        <v>27</v>
      </c>
      <c r="F4" s="1" t="s">
        <v>21</v>
      </c>
      <c r="G4" s="1" t="s">
        <v>28</v>
      </c>
      <c r="H4" s="1" t="s">
        <v>29</v>
      </c>
      <c r="I4" s="1">
        <v>6</v>
      </c>
      <c r="J4" s="1" t="str">
        <f>IF(Table1[[#This Row],[Stay_Days]]&lt;3,"Acute_pt.",IF(Table1[[#This Row],[Stay_Days]]&gt;6,"Intermediate_pt.","Chronic_pt."))</f>
        <v>Chronic_pt.</v>
      </c>
      <c r="K4" s="1">
        <v>72391</v>
      </c>
      <c r="L4" s="1" t="s">
        <v>24</v>
      </c>
      <c r="M4" s="1" t="s">
        <v>18</v>
      </c>
    </row>
    <row r="5" spans="1:13" x14ac:dyDescent="0.3">
      <c r="A5" s="1" t="s">
        <v>30</v>
      </c>
      <c r="B5" s="1">
        <v>56</v>
      </c>
      <c r="C5" s="1" t="str">
        <f>IF(Table1[[#This Row],[Age]]&gt;60,"Elder",IF(Table1[[#This Row],[Age]]&gt;25,"Adult","Children"))</f>
        <v>Adult</v>
      </c>
      <c r="D5" s="1" t="s">
        <v>12</v>
      </c>
      <c r="E5" s="1" t="s">
        <v>27</v>
      </c>
      <c r="F5" s="1" t="s">
        <v>31</v>
      </c>
      <c r="G5" s="1" t="s">
        <v>32</v>
      </c>
      <c r="H5" s="1" t="s">
        <v>29</v>
      </c>
      <c r="I5" s="1">
        <v>2</v>
      </c>
      <c r="J5" s="1" t="str">
        <f>IF(Table1[[#This Row],[Stay_Days]]&lt;3,"Acute_pt.",IF(Table1[[#This Row],[Stay_Days]]&gt;6,"Intermediate_pt.","Chronic_pt."))</f>
        <v>Acute_pt.</v>
      </c>
      <c r="K5" s="1">
        <v>69709</v>
      </c>
      <c r="L5" s="1" t="s">
        <v>17</v>
      </c>
      <c r="M5" s="1" t="s">
        <v>25</v>
      </c>
    </row>
    <row r="6" spans="1:13" x14ac:dyDescent="0.3">
      <c r="A6" s="1" t="s">
        <v>33</v>
      </c>
      <c r="B6" s="1">
        <v>39</v>
      </c>
      <c r="C6" s="1" t="str">
        <f>IF(Table1[[#This Row],[Age]]&gt;60,"Elder",IF(Table1[[#This Row],[Age]]&gt;25,"Adult","Children"))</f>
        <v>Adult</v>
      </c>
      <c r="D6" s="1" t="s">
        <v>34</v>
      </c>
      <c r="E6" s="1" t="s">
        <v>20</v>
      </c>
      <c r="F6" s="1" t="s">
        <v>35</v>
      </c>
      <c r="G6" s="1" t="s">
        <v>36</v>
      </c>
      <c r="H6" s="1" t="s">
        <v>37</v>
      </c>
      <c r="I6" s="1">
        <v>8</v>
      </c>
      <c r="J6" s="1" t="str">
        <f>IF(Table1[[#This Row],[Stay_Days]]&lt;3,"Acute_pt.",IF(Table1[[#This Row],[Stay_Days]]&gt;6,"Intermediate_pt.","Chronic_pt."))</f>
        <v>Intermediate_pt.</v>
      </c>
      <c r="K6" s="1">
        <v>20835</v>
      </c>
      <c r="L6" s="1" t="s">
        <v>17</v>
      </c>
      <c r="M6" s="1" t="s">
        <v>38</v>
      </c>
    </row>
    <row r="7" spans="1:13" x14ac:dyDescent="0.3">
      <c r="A7" s="1" t="s">
        <v>39</v>
      </c>
      <c r="B7" s="1">
        <v>30</v>
      </c>
      <c r="C7" s="1" t="str">
        <f>IF(Table1[[#This Row],[Age]]&gt;60,"Elder",IF(Table1[[#This Row],[Age]]&gt;25,"Adult","Children"))</f>
        <v>Adult</v>
      </c>
      <c r="D7" s="1" t="s">
        <v>12</v>
      </c>
      <c r="E7" s="1" t="s">
        <v>27</v>
      </c>
      <c r="F7" s="1" t="s">
        <v>40</v>
      </c>
      <c r="G7" s="1" t="s">
        <v>28</v>
      </c>
      <c r="H7" s="1" t="s">
        <v>41</v>
      </c>
      <c r="I7" s="1">
        <v>2</v>
      </c>
      <c r="J7" s="1" t="str">
        <f>IF(Table1[[#This Row],[Stay_Days]]&lt;3,"Acute_pt.",IF(Table1[[#This Row],[Stay_Days]]&gt;6,"Intermediate_pt.","Chronic_pt."))</f>
        <v>Acute_pt.</v>
      </c>
      <c r="K7" s="1">
        <v>28040</v>
      </c>
      <c r="L7" s="1" t="s">
        <v>24</v>
      </c>
      <c r="M7" s="1" t="s">
        <v>18</v>
      </c>
    </row>
    <row r="8" spans="1:13" x14ac:dyDescent="0.3">
      <c r="A8" s="1" t="s">
        <v>42</v>
      </c>
      <c r="B8" s="1">
        <v>23</v>
      </c>
      <c r="C8" s="1" t="str">
        <f>IF(Table1[[#This Row],[Age]]&gt;60,"Elder",IF(Table1[[#This Row],[Age]]&gt;25,"Adult","Children"))</f>
        <v>Children</v>
      </c>
      <c r="D8" s="1" t="s">
        <v>34</v>
      </c>
      <c r="E8" s="1" t="s">
        <v>13</v>
      </c>
      <c r="F8" s="1" t="s">
        <v>43</v>
      </c>
      <c r="G8" s="1" t="s">
        <v>16</v>
      </c>
      <c r="H8" s="1" t="s">
        <v>44</v>
      </c>
      <c r="I8" s="1">
        <v>3</v>
      </c>
      <c r="J8" s="1" t="str">
        <f>IF(Table1[[#This Row],[Stay_Days]]&lt;3,"Acute_pt.",IF(Table1[[#This Row],[Stay_Days]]&gt;6,"Intermediate_pt.","Chronic_pt."))</f>
        <v>Chronic_pt.</v>
      </c>
      <c r="K8" s="1">
        <v>14064</v>
      </c>
      <c r="L8" s="1" t="s">
        <v>17</v>
      </c>
      <c r="M8" s="1" t="s">
        <v>38</v>
      </c>
    </row>
    <row r="9" spans="1:13" x14ac:dyDescent="0.3">
      <c r="A9" s="1" t="s">
        <v>45</v>
      </c>
      <c r="B9" s="1">
        <v>70</v>
      </c>
      <c r="C9" s="1" t="str">
        <f>IF(Table1[[#This Row],[Age]]&gt;60,"Elder",IF(Table1[[#This Row],[Age]]&gt;25,"Adult","Children"))</f>
        <v>Elder</v>
      </c>
      <c r="D9" s="1" t="s">
        <v>34</v>
      </c>
      <c r="E9" s="1" t="s">
        <v>46</v>
      </c>
      <c r="F9" s="1" t="s">
        <v>47</v>
      </c>
      <c r="G9" s="1" t="s">
        <v>48</v>
      </c>
      <c r="H9" s="1" t="s">
        <v>49</v>
      </c>
      <c r="I9" s="1">
        <v>4</v>
      </c>
      <c r="J9" s="1" t="str">
        <f>IF(Table1[[#This Row],[Stay_Days]]&lt;3,"Acute_pt.",IF(Table1[[#This Row],[Stay_Days]]&gt;6,"Intermediate_pt.","Chronic_pt."))</f>
        <v>Chronic_pt.</v>
      </c>
      <c r="K9" s="1">
        <v>52001</v>
      </c>
      <c r="L9" s="1" t="s">
        <v>17</v>
      </c>
      <c r="M9" s="1" t="s">
        <v>18</v>
      </c>
    </row>
    <row r="10" spans="1:13" x14ac:dyDescent="0.3">
      <c r="A10" s="1" t="s">
        <v>50</v>
      </c>
      <c r="B10" s="1">
        <v>43</v>
      </c>
      <c r="C10" s="1" t="str">
        <f>IF(Table1[[#This Row],[Age]]&gt;60,"Elder",IF(Table1[[#This Row],[Age]]&gt;25,"Adult","Children"))</f>
        <v>Adult</v>
      </c>
      <c r="D10" s="1" t="s">
        <v>34</v>
      </c>
      <c r="E10" s="1" t="s">
        <v>51</v>
      </c>
      <c r="F10" s="1" t="s">
        <v>47</v>
      </c>
      <c r="G10" s="1" t="s">
        <v>52</v>
      </c>
      <c r="H10" s="1" t="s">
        <v>53</v>
      </c>
      <c r="I10" s="1">
        <v>7</v>
      </c>
      <c r="J10" s="1" t="str">
        <f>IF(Table1[[#This Row],[Stay_Days]]&lt;3,"Acute_pt.",IF(Table1[[#This Row],[Stay_Days]]&gt;6,"Intermediate_pt.","Chronic_pt."))</f>
        <v>Intermediate_pt.</v>
      </c>
      <c r="K10" s="1">
        <v>64594</v>
      </c>
      <c r="L10" s="1" t="s">
        <v>24</v>
      </c>
      <c r="M10" s="1" t="s">
        <v>25</v>
      </c>
    </row>
    <row r="11" spans="1:13" x14ac:dyDescent="0.3">
      <c r="A11" s="1" t="s">
        <v>54</v>
      </c>
      <c r="B11" s="1">
        <v>52</v>
      </c>
      <c r="C11" s="1" t="str">
        <f>IF(Table1[[#This Row],[Age]]&gt;60,"Elder",IF(Table1[[#This Row],[Age]]&gt;25,"Adult","Children"))</f>
        <v>Adult</v>
      </c>
      <c r="D11" s="1" t="s">
        <v>34</v>
      </c>
      <c r="E11" s="1" t="s">
        <v>20</v>
      </c>
      <c r="F11" s="1" t="s">
        <v>21</v>
      </c>
      <c r="G11" s="1" t="s">
        <v>49</v>
      </c>
      <c r="H11" s="1" t="s">
        <v>29</v>
      </c>
      <c r="I11" s="1">
        <v>3</v>
      </c>
      <c r="J11" s="1" t="str">
        <f>IF(Table1[[#This Row],[Stay_Days]]&lt;3,"Acute_pt.",IF(Table1[[#This Row],[Stay_Days]]&gt;6,"Intermediate_pt.","Chronic_pt."))</f>
        <v>Chronic_pt.</v>
      </c>
      <c r="K11" s="1">
        <v>82690</v>
      </c>
      <c r="L11" s="1" t="s">
        <v>24</v>
      </c>
      <c r="M11" s="1" t="s">
        <v>55</v>
      </c>
    </row>
    <row r="12" spans="1:13" x14ac:dyDescent="0.3">
      <c r="A12" s="1" t="s">
        <v>56</v>
      </c>
      <c r="B12" s="1">
        <v>51</v>
      </c>
      <c r="C12" s="1" t="str">
        <f>IF(Table1[[#This Row],[Age]]&gt;60,"Elder",IF(Table1[[#This Row],[Age]]&gt;25,"Adult","Children"))</f>
        <v>Adult</v>
      </c>
      <c r="D12" s="1" t="s">
        <v>34</v>
      </c>
      <c r="E12" s="1" t="s">
        <v>46</v>
      </c>
      <c r="F12" s="1" t="s">
        <v>47</v>
      </c>
      <c r="G12" s="1" t="s">
        <v>48</v>
      </c>
      <c r="H12" s="1" t="s">
        <v>49</v>
      </c>
      <c r="I12" s="1">
        <v>4</v>
      </c>
      <c r="J12" s="1" t="str">
        <f>IF(Table1[[#This Row],[Stay_Days]]&lt;3,"Acute_pt.",IF(Table1[[#This Row],[Stay_Days]]&gt;6,"Intermediate_pt.","Chronic_pt."))</f>
        <v>Chronic_pt.</v>
      </c>
      <c r="K12" s="1">
        <v>92578</v>
      </c>
      <c r="L12" s="1" t="s">
        <v>24</v>
      </c>
      <c r="M12" s="1" t="s">
        <v>57</v>
      </c>
    </row>
    <row r="13" spans="1:13" x14ac:dyDescent="0.3">
      <c r="A13" s="1" t="s">
        <v>58</v>
      </c>
      <c r="B13" s="1">
        <v>34</v>
      </c>
      <c r="C13" s="1" t="str">
        <f>IF(Table1[[#This Row],[Age]]&gt;60,"Elder",IF(Table1[[#This Row],[Age]]&gt;25,"Adult","Children"))</f>
        <v>Adult</v>
      </c>
      <c r="D13" s="1" t="s">
        <v>12</v>
      </c>
      <c r="E13" s="1" t="s">
        <v>46</v>
      </c>
      <c r="F13" s="1" t="s">
        <v>59</v>
      </c>
      <c r="G13" s="1" t="s">
        <v>44</v>
      </c>
      <c r="H13" s="1" t="s">
        <v>60</v>
      </c>
      <c r="I13" s="1">
        <v>3</v>
      </c>
      <c r="J13" s="1" t="str">
        <f>IF(Table1[[#This Row],[Stay_Days]]&lt;3,"Acute_pt.",IF(Table1[[#This Row],[Stay_Days]]&gt;6,"Intermediate_pt.","Chronic_pt."))</f>
        <v>Chronic_pt.</v>
      </c>
      <c r="K13" s="1">
        <v>40533</v>
      </c>
      <c r="L13" s="1" t="s">
        <v>17</v>
      </c>
      <c r="M13" s="1" t="s">
        <v>55</v>
      </c>
    </row>
    <row r="14" spans="1:13" x14ac:dyDescent="0.3">
      <c r="A14" s="1" t="s">
        <v>61</v>
      </c>
      <c r="B14" s="1">
        <v>39</v>
      </c>
      <c r="C14" s="1" t="str">
        <f>IF(Table1[[#This Row],[Age]]&gt;60,"Elder",IF(Table1[[#This Row],[Age]]&gt;25,"Adult","Children"))</f>
        <v>Adult</v>
      </c>
      <c r="D14" s="1" t="s">
        <v>34</v>
      </c>
      <c r="E14" s="1" t="s">
        <v>27</v>
      </c>
      <c r="F14" s="1" t="s">
        <v>14</v>
      </c>
      <c r="G14" s="1" t="s">
        <v>16</v>
      </c>
      <c r="H14" s="1" t="s">
        <v>44</v>
      </c>
      <c r="I14" s="1">
        <v>3</v>
      </c>
      <c r="J14" s="1" t="str">
        <f>IF(Table1[[#This Row],[Stay_Days]]&lt;3,"Acute_pt.",IF(Table1[[#This Row],[Stay_Days]]&gt;6,"Intermediate_pt.","Chronic_pt."))</f>
        <v>Chronic_pt.</v>
      </c>
      <c r="K14" s="1">
        <v>87040</v>
      </c>
      <c r="L14" s="1" t="s">
        <v>24</v>
      </c>
      <c r="M14" s="1" t="s">
        <v>18</v>
      </c>
    </row>
    <row r="15" spans="1:13" x14ac:dyDescent="0.3">
      <c r="A15" s="1" t="s">
        <v>62</v>
      </c>
      <c r="B15" s="1">
        <v>22</v>
      </c>
      <c r="C15" s="1" t="str">
        <f>IF(Table1[[#This Row],[Age]]&gt;60,"Elder",IF(Table1[[#This Row],[Age]]&gt;25,"Adult","Children"))</f>
        <v>Children</v>
      </c>
      <c r="D15" s="1" t="s">
        <v>12</v>
      </c>
      <c r="E15" s="1" t="s">
        <v>20</v>
      </c>
      <c r="F15" s="1" t="s">
        <v>63</v>
      </c>
      <c r="G15" s="1" t="s">
        <v>64</v>
      </c>
      <c r="H15" s="1" t="s">
        <v>41</v>
      </c>
      <c r="I15" s="1">
        <v>5</v>
      </c>
      <c r="J15" s="1" t="str">
        <f>IF(Table1[[#This Row],[Stay_Days]]&lt;3,"Acute_pt.",IF(Table1[[#This Row],[Stay_Days]]&gt;6,"Intermediate_pt.","Chronic_pt."))</f>
        <v>Chronic_pt.</v>
      </c>
      <c r="K15" s="1">
        <v>16398</v>
      </c>
      <c r="L15" s="1" t="s">
        <v>24</v>
      </c>
      <c r="M15" s="1" t="s">
        <v>18</v>
      </c>
    </row>
    <row r="16" spans="1:13" x14ac:dyDescent="0.3">
      <c r="A16" s="1" t="s">
        <v>65</v>
      </c>
      <c r="B16" s="1">
        <v>67</v>
      </c>
      <c r="C16" s="1" t="str">
        <f>IF(Table1[[#This Row],[Age]]&gt;60,"Elder",IF(Table1[[#This Row],[Age]]&gt;25,"Adult","Children"))</f>
        <v>Elder</v>
      </c>
      <c r="D16" s="1" t="s">
        <v>12</v>
      </c>
      <c r="E16" s="1" t="s">
        <v>20</v>
      </c>
      <c r="F16" s="1" t="s">
        <v>43</v>
      </c>
      <c r="G16" s="1" t="s">
        <v>66</v>
      </c>
      <c r="H16" s="1" t="s">
        <v>29</v>
      </c>
      <c r="I16" s="1">
        <v>5</v>
      </c>
      <c r="J16" s="1" t="str">
        <f>IF(Table1[[#This Row],[Stay_Days]]&lt;3,"Acute_pt.",IF(Table1[[#This Row],[Stay_Days]]&gt;6,"Intermediate_pt.","Chronic_pt."))</f>
        <v>Chronic_pt.</v>
      </c>
      <c r="K16" s="1">
        <v>96087</v>
      </c>
      <c r="L16" s="1" t="s">
        <v>17</v>
      </c>
      <c r="M16" s="1" t="s">
        <v>55</v>
      </c>
    </row>
    <row r="17" spans="1:13" x14ac:dyDescent="0.3">
      <c r="A17" s="1" t="s">
        <v>67</v>
      </c>
      <c r="B17" s="1">
        <v>60</v>
      </c>
      <c r="C17" s="1" t="str">
        <f>IF(Table1[[#This Row],[Age]]&gt;60,"Elder",IF(Table1[[#This Row],[Age]]&gt;25,"Adult","Children"))</f>
        <v>Adult</v>
      </c>
      <c r="D17" s="1" t="s">
        <v>34</v>
      </c>
      <c r="E17" s="1" t="s">
        <v>51</v>
      </c>
      <c r="F17" s="1" t="s">
        <v>47</v>
      </c>
      <c r="G17" s="1" t="s">
        <v>68</v>
      </c>
      <c r="H17" s="1" t="s">
        <v>69</v>
      </c>
      <c r="I17" s="1">
        <v>8</v>
      </c>
      <c r="J17" s="1" t="str">
        <f>IF(Table1[[#This Row],[Stay_Days]]&lt;3,"Acute_pt.",IF(Table1[[#This Row],[Stay_Days]]&gt;6,"Intermediate_pt.","Chronic_pt."))</f>
        <v>Intermediate_pt.</v>
      </c>
      <c r="K17" s="1">
        <v>43723</v>
      </c>
      <c r="L17" s="1" t="s">
        <v>17</v>
      </c>
      <c r="M17" s="1" t="s">
        <v>18</v>
      </c>
    </row>
    <row r="18" spans="1:13" x14ac:dyDescent="0.3">
      <c r="A18" s="1" t="s">
        <v>70</v>
      </c>
      <c r="B18" s="1">
        <v>40</v>
      </c>
      <c r="C18" s="1" t="str">
        <f>IF(Table1[[#This Row],[Age]]&gt;60,"Elder",IF(Table1[[#This Row],[Age]]&gt;25,"Adult","Children"))</f>
        <v>Adult</v>
      </c>
      <c r="D18" s="1" t="s">
        <v>34</v>
      </c>
      <c r="E18" s="1" t="s">
        <v>51</v>
      </c>
      <c r="F18" s="1" t="s">
        <v>40</v>
      </c>
      <c r="G18" s="1" t="s">
        <v>71</v>
      </c>
      <c r="H18" s="1" t="s">
        <v>72</v>
      </c>
      <c r="I18" s="1">
        <v>3</v>
      </c>
      <c r="J18" s="1" t="str">
        <f>IF(Table1[[#This Row],[Stay_Days]]&lt;3,"Acute_pt.",IF(Table1[[#This Row],[Stay_Days]]&gt;6,"Intermediate_pt.","Chronic_pt."))</f>
        <v>Chronic_pt.</v>
      </c>
      <c r="K18" s="1">
        <v>82358</v>
      </c>
      <c r="L18" s="1" t="s">
        <v>24</v>
      </c>
      <c r="M18" s="1" t="s">
        <v>25</v>
      </c>
    </row>
    <row r="19" spans="1:13" x14ac:dyDescent="0.3">
      <c r="A19" s="1" t="s">
        <v>73</v>
      </c>
      <c r="B19" s="1">
        <v>27</v>
      </c>
      <c r="C19" s="1" t="str">
        <f>IF(Table1[[#This Row],[Age]]&gt;60,"Elder",IF(Table1[[#This Row],[Age]]&gt;25,"Adult","Children"))</f>
        <v>Adult</v>
      </c>
      <c r="D19" s="1" t="s">
        <v>12</v>
      </c>
      <c r="E19" s="1" t="s">
        <v>20</v>
      </c>
      <c r="F19" s="1" t="s">
        <v>47</v>
      </c>
      <c r="G19" s="1" t="s">
        <v>74</v>
      </c>
      <c r="H19" s="1" t="s">
        <v>16</v>
      </c>
      <c r="I19" s="1">
        <v>4</v>
      </c>
      <c r="J19" s="1" t="str">
        <f>IF(Table1[[#This Row],[Stay_Days]]&lt;3,"Acute_pt.",IF(Table1[[#This Row],[Stay_Days]]&gt;6,"Intermediate_pt.","Chronic_pt."))</f>
        <v>Chronic_pt.</v>
      </c>
      <c r="K19" s="1">
        <v>84392</v>
      </c>
      <c r="L19" s="1" t="s">
        <v>17</v>
      </c>
      <c r="M19" s="1" t="s">
        <v>25</v>
      </c>
    </row>
    <row r="20" spans="1:13" x14ac:dyDescent="0.3">
      <c r="A20" s="1" t="s">
        <v>75</v>
      </c>
      <c r="B20" s="1">
        <v>40</v>
      </c>
      <c r="C20" s="1" t="str">
        <f>IF(Table1[[#This Row],[Age]]&gt;60,"Elder",IF(Table1[[#This Row],[Age]]&gt;25,"Adult","Children"))</f>
        <v>Adult</v>
      </c>
      <c r="D20" s="1" t="s">
        <v>34</v>
      </c>
      <c r="E20" s="1" t="s">
        <v>27</v>
      </c>
      <c r="F20" s="1" t="s">
        <v>40</v>
      </c>
      <c r="G20" s="1" t="s">
        <v>76</v>
      </c>
      <c r="H20" s="1" t="s">
        <v>77</v>
      </c>
      <c r="I20" s="1">
        <v>2</v>
      </c>
      <c r="J20" s="1" t="str">
        <f>IF(Table1[[#This Row],[Stay_Days]]&lt;3,"Acute_pt.",IF(Table1[[#This Row],[Stay_Days]]&gt;6,"Intermediate_pt.","Chronic_pt."))</f>
        <v>Acute_pt.</v>
      </c>
      <c r="K20" s="1">
        <v>96918</v>
      </c>
      <c r="L20" s="1" t="s">
        <v>24</v>
      </c>
      <c r="M20" s="1" t="s">
        <v>57</v>
      </c>
    </row>
    <row r="21" spans="1:13" x14ac:dyDescent="0.3">
      <c r="A21" s="1" t="s">
        <v>78</v>
      </c>
      <c r="B21" s="1">
        <v>47</v>
      </c>
      <c r="C21" s="1" t="str">
        <f>IF(Table1[[#This Row],[Age]]&gt;60,"Elder",IF(Table1[[#This Row],[Age]]&gt;25,"Adult","Children"))</f>
        <v>Adult</v>
      </c>
      <c r="D21" s="1" t="s">
        <v>34</v>
      </c>
      <c r="E21" s="1" t="s">
        <v>20</v>
      </c>
      <c r="F21" s="1" t="s">
        <v>63</v>
      </c>
      <c r="G21" s="1" t="s">
        <v>74</v>
      </c>
      <c r="H21" s="1" t="s">
        <v>77</v>
      </c>
      <c r="I21" s="1">
        <v>8</v>
      </c>
      <c r="J21" s="1" t="str">
        <f>IF(Table1[[#This Row],[Stay_Days]]&lt;3,"Acute_pt.",IF(Table1[[#This Row],[Stay_Days]]&gt;6,"Intermediate_pt.","Chronic_pt."))</f>
        <v>Intermediate_pt.</v>
      </c>
      <c r="K21" s="1">
        <v>59384</v>
      </c>
      <c r="L21" s="1" t="s">
        <v>17</v>
      </c>
      <c r="M21" s="1" t="s">
        <v>25</v>
      </c>
    </row>
    <row r="22" spans="1:13" x14ac:dyDescent="0.3">
      <c r="A22" s="1" t="s">
        <v>79</v>
      </c>
      <c r="B22" s="1">
        <v>48</v>
      </c>
      <c r="C22" s="1" t="str">
        <f>IF(Table1[[#This Row],[Age]]&gt;60,"Elder",IF(Table1[[#This Row],[Age]]&gt;25,"Adult","Children"))</f>
        <v>Adult</v>
      </c>
      <c r="D22" s="1" t="s">
        <v>12</v>
      </c>
      <c r="E22" s="1" t="s">
        <v>20</v>
      </c>
      <c r="F22" s="1" t="s">
        <v>59</v>
      </c>
      <c r="G22" s="1" t="s">
        <v>80</v>
      </c>
      <c r="H22" s="1" t="s">
        <v>81</v>
      </c>
      <c r="I22" s="1">
        <v>8</v>
      </c>
      <c r="J22" s="1" t="str">
        <f>IF(Table1[[#This Row],[Stay_Days]]&lt;3,"Acute_pt.",IF(Table1[[#This Row],[Stay_Days]]&gt;6,"Intermediate_pt.","Chronic_pt."))</f>
        <v>Intermediate_pt.</v>
      </c>
      <c r="K22" s="1">
        <v>88389</v>
      </c>
      <c r="L22" s="1" t="s">
        <v>17</v>
      </c>
      <c r="M22" s="1" t="s">
        <v>55</v>
      </c>
    </row>
    <row r="23" spans="1:13" x14ac:dyDescent="0.3">
      <c r="A23" s="1" t="s">
        <v>82</v>
      </c>
      <c r="B23" s="1">
        <v>22</v>
      </c>
      <c r="C23" s="1" t="str">
        <f>IF(Table1[[#This Row],[Age]]&gt;60,"Elder",IF(Table1[[#This Row],[Age]]&gt;25,"Adult","Children"))</f>
        <v>Children</v>
      </c>
      <c r="D23" s="1" t="s">
        <v>12</v>
      </c>
      <c r="E23" s="1" t="s">
        <v>51</v>
      </c>
      <c r="F23" s="1" t="s">
        <v>63</v>
      </c>
      <c r="G23" s="1" t="s">
        <v>77</v>
      </c>
      <c r="H23" s="1" t="s">
        <v>60</v>
      </c>
      <c r="I23" s="1">
        <v>2</v>
      </c>
      <c r="J23" s="1" t="str">
        <f>IF(Table1[[#This Row],[Stay_Days]]&lt;3,"Acute_pt.",IF(Table1[[#This Row],[Stay_Days]]&gt;6,"Intermediate_pt.","Chronic_pt."))</f>
        <v>Acute_pt.</v>
      </c>
      <c r="K23" s="1">
        <v>71775</v>
      </c>
      <c r="L23" s="1" t="s">
        <v>24</v>
      </c>
      <c r="M23" s="1" t="s">
        <v>25</v>
      </c>
    </row>
    <row r="24" spans="1:13" x14ac:dyDescent="0.3">
      <c r="A24" s="1" t="s">
        <v>83</v>
      </c>
      <c r="B24" s="1">
        <v>29</v>
      </c>
      <c r="C24" s="1" t="str">
        <f>IF(Table1[[#This Row],[Age]]&gt;60,"Elder",IF(Table1[[#This Row],[Age]]&gt;25,"Adult","Children"))</f>
        <v>Adult</v>
      </c>
      <c r="D24" s="1" t="s">
        <v>34</v>
      </c>
      <c r="E24" s="1" t="s">
        <v>13</v>
      </c>
      <c r="F24" s="1" t="s">
        <v>47</v>
      </c>
      <c r="G24" s="1" t="s">
        <v>84</v>
      </c>
      <c r="H24" s="1" t="s">
        <v>64</v>
      </c>
      <c r="I24" s="1">
        <v>6</v>
      </c>
      <c r="J24" s="1" t="str">
        <f>IF(Table1[[#This Row],[Stay_Days]]&lt;3,"Acute_pt.",IF(Table1[[#This Row],[Stay_Days]]&gt;6,"Intermediate_pt.","Chronic_pt."))</f>
        <v>Chronic_pt.</v>
      </c>
      <c r="K24" s="1">
        <v>41804</v>
      </c>
      <c r="L24" s="1" t="s">
        <v>24</v>
      </c>
      <c r="M24" s="1" t="s">
        <v>25</v>
      </c>
    </row>
    <row r="25" spans="1:13" x14ac:dyDescent="0.3">
      <c r="A25" s="1" t="s">
        <v>85</v>
      </c>
      <c r="B25" s="1">
        <v>32</v>
      </c>
      <c r="C25" s="1" t="str">
        <f>IF(Table1[[#This Row],[Age]]&gt;60,"Elder",IF(Table1[[#This Row],[Age]]&gt;25,"Adult","Children"))</f>
        <v>Adult</v>
      </c>
      <c r="D25" s="1" t="s">
        <v>34</v>
      </c>
      <c r="E25" s="1" t="s">
        <v>13</v>
      </c>
      <c r="F25" s="1" t="s">
        <v>31</v>
      </c>
      <c r="G25" s="1" t="s">
        <v>84</v>
      </c>
      <c r="H25" s="1" t="s">
        <v>64</v>
      </c>
      <c r="I25" s="1">
        <v>6</v>
      </c>
      <c r="J25" s="1" t="str">
        <f>IF(Table1[[#This Row],[Stay_Days]]&lt;3,"Acute_pt.",IF(Table1[[#This Row],[Stay_Days]]&gt;6,"Intermediate_pt.","Chronic_pt."))</f>
        <v>Chronic_pt.</v>
      </c>
      <c r="K25" s="1">
        <v>19712</v>
      </c>
      <c r="L25" s="1" t="s">
        <v>24</v>
      </c>
      <c r="M25" s="1" t="s">
        <v>55</v>
      </c>
    </row>
    <row r="26" spans="1:13" x14ac:dyDescent="0.3">
      <c r="A26" s="1" t="s">
        <v>86</v>
      </c>
      <c r="B26" s="1">
        <v>65</v>
      </c>
      <c r="C26" s="1" t="str">
        <f>IF(Table1[[#This Row],[Age]]&gt;60,"Elder",IF(Table1[[#This Row],[Age]]&gt;25,"Adult","Children"))</f>
        <v>Elder</v>
      </c>
      <c r="D26" s="1" t="s">
        <v>34</v>
      </c>
      <c r="E26" s="1" t="s">
        <v>51</v>
      </c>
      <c r="F26" s="1" t="s">
        <v>21</v>
      </c>
      <c r="G26" s="1" t="s">
        <v>28</v>
      </c>
      <c r="H26" s="1" t="s">
        <v>72</v>
      </c>
      <c r="I26" s="1">
        <v>8</v>
      </c>
      <c r="J26" s="1" t="str">
        <f>IF(Table1[[#This Row],[Stay_Days]]&lt;3,"Acute_pt.",IF(Table1[[#This Row],[Stay_Days]]&gt;6,"Intermediate_pt.","Chronic_pt."))</f>
        <v>Intermediate_pt.</v>
      </c>
      <c r="K26" s="1">
        <v>43683</v>
      </c>
      <c r="L26" s="1" t="s">
        <v>24</v>
      </c>
      <c r="M26" s="1" t="s">
        <v>25</v>
      </c>
    </row>
    <row r="27" spans="1:13" x14ac:dyDescent="0.3">
      <c r="A27" s="1" t="s">
        <v>87</v>
      </c>
      <c r="B27" s="1">
        <v>67</v>
      </c>
      <c r="C27" s="1" t="str">
        <f>IF(Table1[[#This Row],[Age]]&gt;60,"Elder",IF(Table1[[#This Row],[Age]]&gt;25,"Adult","Children"))</f>
        <v>Elder</v>
      </c>
      <c r="D27" s="1" t="s">
        <v>12</v>
      </c>
      <c r="E27" s="1" t="s">
        <v>20</v>
      </c>
      <c r="F27" s="1" t="s">
        <v>59</v>
      </c>
      <c r="G27" s="1" t="s">
        <v>71</v>
      </c>
      <c r="H27" s="1" t="s">
        <v>88</v>
      </c>
      <c r="I27" s="1">
        <v>5</v>
      </c>
      <c r="J27" s="1" t="str">
        <f>IF(Table1[[#This Row],[Stay_Days]]&lt;3,"Acute_pt.",IF(Table1[[#This Row],[Stay_Days]]&gt;6,"Intermediate_pt.","Chronic_pt."))</f>
        <v>Chronic_pt.</v>
      </c>
      <c r="K27" s="1">
        <v>71249</v>
      </c>
      <c r="L27" s="1" t="s">
        <v>24</v>
      </c>
      <c r="M27" s="1" t="s">
        <v>55</v>
      </c>
    </row>
    <row r="28" spans="1:13" x14ac:dyDescent="0.3">
      <c r="A28" s="1" t="s">
        <v>89</v>
      </c>
      <c r="B28" s="1">
        <v>56</v>
      </c>
      <c r="C28" s="1" t="str">
        <f>IF(Table1[[#This Row],[Age]]&gt;60,"Elder",IF(Table1[[#This Row],[Age]]&gt;25,"Adult","Children"))</f>
        <v>Adult</v>
      </c>
      <c r="D28" s="1" t="s">
        <v>12</v>
      </c>
      <c r="E28" s="1" t="s">
        <v>13</v>
      </c>
      <c r="F28" s="1" t="s">
        <v>14</v>
      </c>
      <c r="G28" s="1" t="s">
        <v>90</v>
      </c>
      <c r="H28" s="1" t="s">
        <v>37</v>
      </c>
      <c r="I28" s="1">
        <v>7</v>
      </c>
      <c r="J28" s="1" t="str">
        <f>IF(Table1[[#This Row],[Stay_Days]]&lt;3,"Acute_pt.",IF(Table1[[#This Row],[Stay_Days]]&gt;6,"Intermediate_pt.","Chronic_pt."))</f>
        <v>Intermediate_pt.</v>
      </c>
      <c r="K28" s="1">
        <v>32193</v>
      </c>
      <c r="L28" s="1" t="s">
        <v>17</v>
      </c>
      <c r="M28" s="1" t="s">
        <v>57</v>
      </c>
    </row>
    <row r="29" spans="1:13" x14ac:dyDescent="0.3">
      <c r="A29" s="1" t="s">
        <v>91</v>
      </c>
      <c r="B29" s="1">
        <v>56</v>
      </c>
      <c r="C29" s="1" t="str">
        <f>IF(Table1[[#This Row],[Age]]&gt;60,"Elder",IF(Table1[[#This Row],[Age]]&gt;25,"Adult","Children"))</f>
        <v>Adult</v>
      </c>
      <c r="D29" s="1" t="s">
        <v>12</v>
      </c>
      <c r="E29" s="1" t="s">
        <v>46</v>
      </c>
      <c r="F29" s="1" t="s">
        <v>43</v>
      </c>
      <c r="G29" s="1" t="s">
        <v>32</v>
      </c>
      <c r="H29" s="1" t="s">
        <v>72</v>
      </c>
      <c r="I29" s="1">
        <v>4</v>
      </c>
      <c r="J29" s="1" t="str">
        <f>IF(Table1[[#This Row],[Stay_Days]]&lt;3,"Acute_pt.",IF(Table1[[#This Row],[Stay_Days]]&gt;6,"Intermediate_pt.","Chronic_pt."))</f>
        <v>Chronic_pt.</v>
      </c>
      <c r="K29" s="1">
        <v>84900</v>
      </c>
      <c r="L29" s="1" t="s">
        <v>17</v>
      </c>
      <c r="M29" s="1" t="s">
        <v>38</v>
      </c>
    </row>
    <row r="30" spans="1:13" x14ac:dyDescent="0.3">
      <c r="A30" s="1" t="s">
        <v>92</v>
      </c>
      <c r="B30" s="1">
        <v>30</v>
      </c>
      <c r="C30" s="1" t="str">
        <f>IF(Table1[[#This Row],[Age]]&gt;60,"Elder",IF(Table1[[#This Row],[Age]]&gt;25,"Adult","Children"))</f>
        <v>Adult</v>
      </c>
      <c r="D30" s="1" t="s">
        <v>34</v>
      </c>
      <c r="E30" s="1" t="s">
        <v>51</v>
      </c>
      <c r="F30" s="1" t="s">
        <v>14</v>
      </c>
      <c r="G30" s="1" t="s">
        <v>49</v>
      </c>
      <c r="H30" s="1" t="s">
        <v>68</v>
      </c>
      <c r="I30" s="1">
        <v>6</v>
      </c>
      <c r="J30" s="1" t="str">
        <f>IF(Table1[[#This Row],[Stay_Days]]&lt;3,"Acute_pt.",IF(Table1[[#This Row],[Stay_Days]]&gt;6,"Intermediate_pt.","Chronic_pt."))</f>
        <v>Chronic_pt.</v>
      </c>
      <c r="K30" s="1">
        <v>79073</v>
      </c>
      <c r="L30" s="1" t="s">
        <v>24</v>
      </c>
      <c r="M30" s="1" t="s">
        <v>38</v>
      </c>
    </row>
    <row r="31" spans="1:13" x14ac:dyDescent="0.3">
      <c r="A31" s="1" t="s">
        <v>93</v>
      </c>
      <c r="B31" s="1">
        <v>35</v>
      </c>
      <c r="C31" s="1" t="str">
        <f>IF(Table1[[#This Row],[Age]]&gt;60,"Elder",IF(Table1[[#This Row],[Age]]&gt;25,"Adult","Children"))</f>
        <v>Adult</v>
      </c>
      <c r="D31" s="1" t="s">
        <v>12</v>
      </c>
      <c r="E31" s="1" t="s">
        <v>20</v>
      </c>
      <c r="F31" s="1" t="s">
        <v>63</v>
      </c>
      <c r="G31" s="1" t="s">
        <v>72</v>
      </c>
      <c r="H31" s="1" t="s">
        <v>80</v>
      </c>
      <c r="I31" s="1">
        <v>3</v>
      </c>
      <c r="J31" s="1" t="str">
        <f>IF(Table1[[#This Row],[Stay_Days]]&lt;3,"Acute_pt.",IF(Table1[[#This Row],[Stay_Days]]&gt;6,"Intermediate_pt.","Chronic_pt."))</f>
        <v>Chronic_pt.</v>
      </c>
      <c r="K31" s="1">
        <v>14872</v>
      </c>
      <c r="L31" s="1" t="s">
        <v>17</v>
      </c>
      <c r="M31" s="1" t="s">
        <v>25</v>
      </c>
    </row>
    <row r="32" spans="1:13" x14ac:dyDescent="0.3">
      <c r="A32" s="1" t="s">
        <v>94</v>
      </c>
      <c r="B32" s="1">
        <v>28</v>
      </c>
      <c r="C32" s="1" t="str">
        <f>IF(Table1[[#This Row],[Age]]&gt;60,"Elder",IF(Table1[[#This Row],[Age]]&gt;25,"Adult","Children"))</f>
        <v>Adult</v>
      </c>
      <c r="D32" s="1" t="s">
        <v>12</v>
      </c>
      <c r="E32" s="1" t="s">
        <v>51</v>
      </c>
      <c r="F32" s="1" t="s">
        <v>21</v>
      </c>
      <c r="G32" s="1" t="s">
        <v>95</v>
      </c>
      <c r="H32" s="1" t="s">
        <v>60</v>
      </c>
      <c r="I32" s="1">
        <v>5</v>
      </c>
      <c r="J32" s="1" t="str">
        <f>IF(Table1[[#This Row],[Stay_Days]]&lt;3,"Acute_pt.",IF(Table1[[#This Row],[Stay_Days]]&gt;6,"Intermediate_pt.","Chronic_pt."))</f>
        <v>Chronic_pt.</v>
      </c>
      <c r="K32" s="1">
        <v>13186</v>
      </c>
      <c r="L32" s="1" t="s">
        <v>17</v>
      </c>
      <c r="M32" s="1" t="s">
        <v>25</v>
      </c>
    </row>
    <row r="33" spans="1:13" x14ac:dyDescent="0.3">
      <c r="A33" s="1" t="s">
        <v>96</v>
      </c>
      <c r="B33" s="1">
        <v>23</v>
      </c>
      <c r="C33" s="1" t="str">
        <f>IF(Table1[[#This Row],[Age]]&gt;60,"Elder",IF(Table1[[#This Row],[Age]]&gt;25,"Adult","Children"))</f>
        <v>Children</v>
      </c>
      <c r="D33" s="1" t="s">
        <v>12</v>
      </c>
      <c r="E33" s="1" t="s">
        <v>46</v>
      </c>
      <c r="F33" s="1" t="s">
        <v>63</v>
      </c>
      <c r="G33" s="1" t="s">
        <v>97</v>
      </c>
      <c r="H33" s="1" t="s">
        <v>98</v>
      </c>
      <c r="I33" s="1">
        <v>7</v>
      </c>
      <c r="J33" s="1" t="str">
        <f>IF(Table1[[#This Row],[Stay_Days]]&lt;3,"Acute_pt.",IF(Table1[[#This Row],[Stay_Days]]&gt;6,"Intermediate_pt.","Chronic_pt."))</f>
        <v>Intermediate_pt.</v>
      </c>
      <c r="K33" s="1">
        <v>94752</v>
      </c>
      <c r="L33" s="1" t="s">
        <v>24</v>
      </c>
      <c r="M33" s="1" t="s">
        <v>18</v>
      </c>
    </row>
    <row r="34" spans="1:13" x14ac:dyDescent="0.3">
      <c r="A34" s="1" t="s">
        <v>99</v>
      </c>
      <c r="B34" s="1">
        <v>25</v>
      </c>
      <c r="C34" s="1" t="str">
        <f>IF(Table1[[#This Row],[Age]]&gt;60,"Elder",IF(Table1[[#This Row],[Age]]&gt;25,"Adult","Children"))</f>
        <v>Children</v>
      </c>
      <c r="D34" s="1" t="s">
        <v>12</v>
      </c>
      <c r="E34" s="1" t="s">
        <v>20</v>
      </c>
      <c r="F34" s="1" t="s">
        <v>63</v>
      </c>
      <c r="G34" s="1" t="s">
        <v>64</v>
      </c>
      <c r="H34" s="1" t="s">
        <v>41</v>
      </c>
      <c r="I34" s="1">
        <v>5</v>
      </c>
      <c r="J34" s="1" t="str">
        <f>IF(Table1[[#This Row],[Stay_Days]]&lt;3,"Acute_pt.",IF(Table1[[#This Row],[Stay_Days]]&gt;6,"Intermediate_pt.","Chronic_pt."))</f>
        <v>Chronic_pt.</v>
      </c>
      <c r="K34" s="1">
        <v>94816</v>
      </c>
      <c r="L34" s="1" t="s">
        <v>24</v>
      </c>
      <c r="M34" s="1" t="s">
        <v>25</v>
      </c>
    </row>
    <row r="35" spans="1:13" x14ac:dyDescent="0.3">
      <c r="A35" s="1" t="s">
        <v>100</v>
      </c>
      <c r="B35" s="1">
        <v>43</v>
      </c>
      <c r="C35" s="1" t="str">
        <f>IF(Table1[[#This Row],[Age]]&gt;60,"Elder",IF(Table1[[#This Row],[Age]]&gt;25,"Adult","Children"))</f>
        <v>Adult</v>
      </c>
      <c r="D35" s="1" t="s">
        <v>12</v>
      </c>
      <c r="E35" s="1" t="s">
        <v>13</v>
      </c>
      <c r="F35" s="1" t="s">
        <v>31</v>
      </c>
      <c r="G35" s="1" t="s">
        <v>98</v>
      </c>
      <c r="H35" s="1" t="s">
        <v>77</v>
      </c>
      <c r="I35" s="1">
        <v>6</v>
      </c>
      <c r="J35" s="1" t="str">
        <f>IF(Table1[[#This Row],[Stay_Days]]&lt;3,"Acute_pt.",IF(Table1[[#This Row],[Stay_Days]]&gt;6,"Intermediate_pt.","Chronic_pt."))</f>
        <v>Chronic_pt.</v>
      </c>
      <c r="K35" s="1">
        <v>27726</v>
      </c>
      <c r="L35" s="1" t="s">
        <v>17</v>
      </c>
      <c r="M35" s="1" t="s">
        <v>57</v>
      </c>
    </row>
    <row r="36" spans="1:13" x14ac:dyDescent="0.3">
      <c r="A36" s="1" t="s">
        <v>101</v>
      </c>
      <c r="B36" s="1">
        <v>44</v>
      </c>
      <c r="C36" s="1" t="str">
        <f>IF(Table1[[#This Row],[Age]]&gt;60,"Elder",IF(Table1[[#This Row],[Age]]&gt;25,"Adult","Children"))</f>
        <v>Adult</v>
      </c>
      <c r="D36" s="1" t="s">
        <v>12</v>
      </c>
      <c r="E36" s="1" t="s">
        <v>46</v>
      </c>
      <c r="F36" s="1" t="s">
        <v>102</v>
      </c>
      <c r="G36" s="1" t="s">
        <v>23</v>
      </c>
      <c r="H36" s="1" t="s">
        <v>84</v>
      </c>
      <c r="I36" s="1">
        <v>4</v>
      </c>
      <c r="J36" s="1" t="str">
        <f>IF(Table1[[#This Row],[Stay_Days]]&lt;3,"Acute_pt.",IF(Table1[[#This Row],[Stay_Days]]&gt;6,"Intermediate_pt.","Chronic_pt."))</f>
        <v>Chronic_pt.</v>
      </c>
      <c r="K36" s="1">
        <v>50509</v>
      </c>
      <c r="L36" s="1" t="s">
        <v>24</v>
      </c>
      <c r="M36" s="1" t="s">
        <v>18</v>
      </c>
    </row>
    <row r="37" spans="1:13" x14ac:dyDescent="0.3">
      <c r="A37" s="1" t="s">
        <v>103</v>
      </c>
      <c r="B37" s="1">
        <v>60</v>
      </c>
      <c r="C37" s="1" t="str">
        <f>IF(Table1[[#This Row],[Age]]&gt;60,"Elder",IF(Table1[[#This Row],[Age]]&gt;25,"Adult","Children"))</f>
        <v>Adult</v>
      </c>
      <c r="D37" s="1" t="s">
        <v>34</v>
      </c>
      <c r="E37" s="1" t="s">
        <v>46</v>
      </c>
      <c r="F37" s="1" t="s">
        <v>35</v>
      </c>
      <c r="G37" s="1" t="s">
        <v>74</v>
      </c>
      <c r="H37" s="1" t="s">
        <v>44</v>
      </c>
      <c r="I37" s="1">
        <v>7</v>
      </c>
      <c r="J37" s="1" t="str">
        <f>IF(Table1[[#This Row],[Stay_Days]]&lt;3,"Acute_pt.",IF(Table1[[#This Row],[Stay_Days]]&gt;6,"Intermediate_pt.","Chronic_pt."))</f>
        <v>Intermediate_pt.</v>
      </c>
      <c r="K37" s="1">
        <v>85710</v>
      </c>
      <c r="L37" s="1" t="s">
        <v>17</v>
      </c>
      <c r="M37" s="1" t="s">
        <v>55</v>
      </c>
    </row>
    <row r="38" spans="1:13" x14ac:dyDescent="0.3">
      <c r="A38" s="1" t="s">
        <v>104</v>
      </c>
      <c r="B38" s="1">
        <v>34</v>
      </c>
      <c r="C38" s="1" t="str">
        <f>IF(Table1[[#This Row],[Age]]&gt;60,"Elder",IF(Table1[[#This Row],[Age]]&gt;25,"Adult","Children"))</f>
        <v>Adult</v>
      </c>
      <c r="D38" s="1" t="s">
        <v>34</v>
      </c>
      <c r="E38" s="1" t="s">
        <v>46</v>
      </c>
      <c r="F38" s="1" t="s">
        <v>40</v>
      </c>
      <c r="G38" s="1" t="s">
        <v>29</v>
      </c>
      <c r="H38" s="1" t="s">
        <v>53</v>
      </c>
      <c r="I38" s="1">
        <v>8</v>
      </c>
      <c r="J38" s="1" t="str">
        <f>IF(Table1[[#This Row],[Stay_Days]]&lt;3,"Acute_pt.",IF(Table1[[#This Row],[Stay_Days]]&gt;6,"Intermediate_pt.","Chronic_pt."))</f>
        <v>Intermediate_pt.</v>
      </c>
      <c r="K38" s="1">
        <v>11667</v>
      </c>
      <c r="L38" s="1" t="s">
        <v>17</v>
      </c>
      <c r="M38" s="1" t="s">
        <v>25</v>
      </c>
    </row>
    <row r="39" spans="1:13" x14ac:dyDescent="0.3">
      <c r="A39" s="1" t="s">
        <v>105</v>
      </c>
      <c r="B39" s="1">
        <v>44</v>
      </c>
      <c r="C39" s="1" t="str">
        <f>IF(Table1[[#This Row],[Age]]&gt;60,"Elder",IF(Table1[[#This Row],[Age]]&gt;25,"Adult","Children"))</f>
        <v>Adult</v>
      </c>
      <c r="D39" s="1" t="s">
        <v>12</v>
      </c>
      <c r="E39" s="1" t="s">
        <v>27</v>
      </c>
      <c r="F39" s="1" t="s">
        <v>43</v>
      </c>
      <c r="G39" s="1" t="s">
        <v>72</v>
      </c>
      <c r="H39" s="1" t="s">
        <v>106</v>
      </c>
      <c r="I39" s="1">
        <v>8</v>
      </c>
      <c r="J39" s="1" t="str">
        <f>IF(Table1[[#This Row],[Stay_Days]]&lt;3,"Acute_pt.",IF(Table1[[#This Row],[Stay_Days]]&gt;6,"Intermediate_pt.","Chronic_pt."))</f>
        <v>Intermediate_pt.</v>
      </c>
      <c r="K39" s="1">
        <v>82549</v>
      </c>
      <c r="L39" s="1" t="s">
        <v>24</v>
      </c>
      <c r="M39" s="1" t="s">
        <v>18</v>
      </c>
    </row>
    <row r="40" spans="1:13" x14ac:dyDescent="0.3">
      <c r="A40" s="1" t="s">
        <v>107</v>
      </c>
      <c r="B40" s="1">
        <v>20</v>
      </c>
      <c r="C40" s="1" t="str">
        <f>IF(Table1[[#This Row],[Age]]&gt;60,"Elder",IF(Table1[[#This Row],[Age]]&gt;25,"Adult","Children"))</f>
        <v>Children</v>
      </c>
      <c r="D40" s="1" t="s">
        <v>34</v>
      </c>
      <c r="E40" s="1" t="s">
        <v>27</v>
      </c>
      <c r="F40" s="1" t="s">
        <v>59</v>
      </c>
      <c r="G40" s="1" t="s">
        <v>66</v>
      </c>
      <c r="H40" s="1" t="s">
        <v>68</v>
      </c>
      <c r="I40" s="1">
        <v>8</v>
      </c>
      <c r="J40" s="1" t="str">
        <f>IF(Table1[[#This Row],[Stay_Days]]&lt;3,"Acute_pt.",IF(Table1[[#This Row],[Stay_Days]]&gt;6,"Intermediate_pt.","Chronic_pt."))</f>
        <v>Intermediate_pt.</v>
      </c>
      <c r="K40" s="1">
        <v>74922</v>
      </c>
      <c r="L40" s="1" t="s">
        <v>24</v>
      </c>
      <c r="M40" s="1" t="s">
        <v>55</v>
      </c>
    </row>
    <row r="41" spans="1:13" x14ac:dyDescent="0.3">
      <c r="A41" s="1" t="s">
        <v>108</v>
      </c>
      <c r="B41" s="1">
        <v>66</v>
      </c>
      <c r="C41" s="1" t="str">
        <f>IF(Table1[[#This Row],[Age]]&gt;60,"Elder",IF(Table1[[#This Row],[Age]]&gt;25,"Adult","Children"))</f>
        <v>Elder</v>
      </c>
      <c r="D41" s="1" t="s">
        <v>12</v>
      </c>
      <c r="E41" s="1" t="s">
        <v>27</v>
      </c>
      <c r="F41" s="1" t="s">
        <v>35</v>
      </c>
      <c r="G41" s="1" t="s">
        <v>66</v>
      </c>
      <c r="H41" s="1" t="s">
        <v>32</v>
      </c>
      <c r="I41" s="1">
        <v>3</v>
      </c>
      <c r="J41" s="1" t="str">
        <f>IF(Table1[[#This Row],[Stay_Days]]&lt;3,"Acute_pt.",IF(Table1[[#This Row],[Stay_Days]]&gt;6,"Intermediate_pt.","Chronic_pt."))</f>
        <v>Chronic_pt.</v>
      </c>
      <c r="K41" s="1">
        <v>50346</v>
      </c>
      <c r="L41" s="1" t="s">
        <v>24</v>
      </c>
      <c r="M41" s="1" t="s">
        <v>18</v>
      </c>
    </row>
    <row r="42" spans="1:13" x14ac:dyDescent="0.3">
      <c r="A42" s="1" t="s">
        <v>109</v>
      </c>
      <c r="B42" s="1">
        <v>40</v>
      </c>
      <c r="C42" s="1" t="str">
        <f>IF(Table1[[#This Row],[Age]]&gt;60,"Elder",IF(Table1[[#This Row],[Age]]&gt;25,"Adult","Children"))</f>
        <v>Adult</v>
      </c>
      <c r="D42" s="1" t="s">
        <v>12</v>
      </c>
      <c r="E42" s="1" t="s">
        <v>27</v>
      </c>
      <c r="F42" s="1" t="s">
        <v>31</v>
      </c>
      <c r="G42" s="1" t="s">
        <v>52</v>
      </c>
      <c r="H42" s="1" t="s">
        <v>36</v>
      </c>
      <c r="I42" s="1">
        <v>5</v>
      </c>
      <c r="J42" s="1" t="str">
        <f>IF(Table1[[#This Row],[Stay_Days]]&lt;3,"Acute_pt.",IF(Table1[[#This Row],[Stay_Days]]&gt;6,"Intermediate_pt.","Chronic_pt."))</f>
        <v>Chronic_pt.</v>
      </c>
      <c r="K42" s="1">
        <v>75721</v>
      </c>
      <c r="L42" s="1" t="s">
        <v>17</v>
      </c>
      <c r="M42" s="1" t="s">
        <v>38</v>
      </c>
    </row>
    <row r="43" spans="1:13" x14ac:dyDescent="0.3">
      <c r="A43" s="1" t="s">
        <v>110</v>
      </c>
      <c r="B43" s="1">
        <v>70</v>
      </c>
      <c r="C43" s="1" t="str">
        <f>IF(Table1[[#This Row],[Age]]&gt;60,"Elder",IF(Table1[[#This Row],[Age]]&gt;25,"Adult","Children"))</f>
        <v>Elder</v>
      </c>
      <c r="D43" s="1" t="s">
        <v>12</v>
      </c>
      <c r="E43" s="1" t="s">
        <v>20</v>
      </c>
      <c r="F43" s="1" t="s">
        <v>40</v>
      </c>
      <c r="G43" s="1" t="s">
        <v>41</v>
      </c>
      <c r="H43" s="1" t="s">
        <v>72</v>
      </c>
      <c r="I43" s="1">
        <v>6</v>
      </c>
      <c r="J43" s="1" t="str">
        <f>IF(Table1[[#This Row],[Stay_Days]]&lt;3,"Acute_pt.",IF(Table1[[#This Row],[Stay_Days]]&gt;6,"Intermediate_pt.","Chronic_pt."))</f>
        <v>Chronic_pt.</v>
      </c>
      <c r="K43" s="1">
        <v>48050</v>
      </c>
      <c r="L43" s="1" t="s">
        <v>24</v>
      </c>
      <c r="M43" s="1" t="s">
        <v>55</v>
      </c>
    </row>
    <row r="44" spans="1:13" x14ac:dyDescent="0.3">
      <c r="A44" s="1" t="s">
        <v>111</v>
      </c>
      <c r="B44" s="1">
        <v>39</v>
      </c>
      <c r="C44" s="1" t="str">
        <f>IF(Table1[[#This Row],[Age]]&gt;60,"Elder",IF(Table1[[#This Row],[Age]]&gt;25,"Adult","Children"))</f>
        <v>Adult</v>
      </c>
      <c r="D44" s="1" t="s">
        <v>34</v>
      </c>
      <c r="E44" s="1" t="s">
        <v>46</v>
      </c>
      <c r="F44" s="1" t="s">
        <v>63</v>
      </c>
      <c r="G44" s="1" t="s">
        <v>95</v>
      </c>
      <c r="H44" s="1" t="s">
        <v>60</v>
      </c>
      <c r="I44" s="1">
        <v>5</v>
      </c>
      <c r="J44" s="1" t="str">
        <f>IF(Table1[[#This Row],[Stay_Days]]&lt;3,"Acute_pt.",IF(Table1[[#This Row],[Stay_Days]]&gt;6,"Intermediate_pt.","Chronic_pt."))</f>
        <v>Chronic_pt.</v>
      </c>
      <c r="K44" s="1">
        <v>21826</v>
      </c>
      <c r="L44" s="1" t="s">
        <v>24</v>
      </c>
      <c r="M44" s="1" t="s">
        <v>55</v>
      </c>
    </row>
    <row r="45" spans="1:13" x14ac:dyDescent="0.3">
      <c r="A45" s="1" t="s">
        <v>112</v>
      </c>
      <c r="B45" s="1">
        <v>58</v>
      </c>
      <c r="C45" s="1" t="str">
        <f>IF(Table1[[#This Row],[Age]]&gt;60,"Elder",IF(Table1[[#This Row],[Age]]&gt;25,"Adult","Children"))</f>
        <v>Adult</v>
      </c>
      <c r="D45" s="1" t="s">
        <v>34</v>
      </c>
      <c r="E45" s="1" t="s">
        <v>20</v>
      </c>
      <c r="F45" s="1" t="s">
        <v>47</v>
      </c>
      <c r="G45" s="1" t="s">
        <v>74</v>
      </c>
      <c r="H45" s="1" t="s">
        <v>98</v>
      </c>
      <c r="I45" s="1">
        <v>2</v>
      </c>
      <c r="J45" s="1" t="str">
        <f>IF(Table1[[#This Row],[Stay_Days]]&lt;3,"Acute_pt.",IF(Table1[[#This Row],[Stay_Days]]&gt;6,"Intermediate_pt.","Chronic_pt."))</f>
        <v>Acute_pt.</v>
      </c>
      <c r="K45" s="1">
        <v>59862</v>
      </c>
      <c r="L45" s="1" t="s">
        <v>17</v>
      </c>
      <c r="M45" s="1" t="s">
        <v>57</v>
      </c>
    </row>
    <row r="46" spans="1:13" x14ac:dyDescent="0.3">
      <c r="A46" s="1" t="s">
        <v>113</v>
      </c>
      <c r="B46" s="1">
        <v>64</v>
      </c>
      <c r="C46" s="1" t="str">
        <f>IF(Table1[[#This Row],[Age]]&gt;60,"Elder",IF(Table1[[#This Row],[Age]]&gt;25,"Adult","Children"))</f>
        <v>Elder</v>
      </c>
      <c r="D46" s="1" t="s">
        <v>34</v>
      </c>
      <c r="E46" s="1" t="s">
        <v>13</v>
      </c>
      <c r="F46" s="1" t="s">
        <v>35</v>
      </c>
      <c r="G46" s="1" t="s">
        <v>76</v>
      </c>
      <c r="H46" s="1" t="s">
        <v>48</v>
      </c>
      <c r="I46" s="1">
        <v>5</v>
      </c>
      <c r="J46" s="1" t="str">
        <f>IF(Table1[[#This Row],[Stay_Days]]&lt;3,"Acute_pt.",IF(Table1[[#This Row],[Stay_Days]]&gt;6,"Intermediate_pt.","Chronic_pt."))</f>
        <v>Chronic_pt.</v>
      </c>
      <c r="K46" s="1">
        <v>95780</v>
      </c>
      <c r="L46" s="1" t="s">
        <v>17</v>
      </c>
      <c r="M46" s="1" t="s">
        <v>55</v>
      </c>
    </row>
    <row r="47" spans="1:13" x14ac:dyDescent="0.3">
      <c r="A47" s="1" t="s">
        <v>114</v>
      </c>
      <c r="B47" s="1">
        <v>30</v>
      </c>
      <c r="C47" s="1" t="str">
        <f>IF(Table1[[#This Row],[Age]]&gt;60,"Elder",IF(Table1[[#This Row],[Age]]&gt;25,"Adult","Children"))</f>
        <v>Adult</v>
      </c>
      <c r="D47" s="1" t="s">
        <v>12</v>
      </c>
      <c r="E47" s="1" t="s">
        <v>13</v>
      </c>
      <c r="F47" s="1" t="s">
        <v>35</v>
      </c>
      <c r="G47" s="1" t="s">
        <v>52</v>
      </c>
      <c r="H47" s="1" t="s">
        <v>115</v>
      </c>
      <c r="I47" s="1">
        <v>8</v>
      </c>
      <c r="J47" s="1" t="str">
        <f>IF(Table1[[#This Row],[Stay_Days]]&lt;3,"Acute_pt.",IF(Table1[[#This Row],[Stay_Days]]&gt;6,"Intermediate_pt.","Chronic_pt."))</f>
        <v>Intermediate_pt.</v>
      </c>
      <c r="K47" s="1">
        <v>37250</v>
      </c>
      <c r="L47" s="1" t="s">
        <v>17</v>
      </c>
      <c r="M47" s="1" t="s">
        <v>55</v>
      </c>
    </row>
    <row r="48" spans="1:13" x14ac:dyDescent="0.3">
      <c r="A48" s="1" t="s">
        <v>116</v>
      </c>
      <c r="B48" s="1">
        <v>34</v>
      </c>
      <c r="C48" s="1" t="str">
        <f>IF(Table1[[#This Row],[Age]]&gt;60,"Elder",IF(Table1[[#This Row],[Age]]&gt;25,"Adult","Children"))</f>
        <v>Adult</v>
      </c>
      <c r="D48" s="1" t="s">
        <v>12</v>
      </c>
      <c r="E48" s="1" t="s">
        <v>20</v>
      </c>
      <c r="F48" s="1" t="s">
        <v>59</v>
      </c>
      <c r="G48" s="1" t="s">
        <v>97</v>
      </c>
      <c r="H48" s="1" t="s">
        <v>74</v>
      </c>
      <c r="I48" s="1">
        <v>5</v>
      </c>
      <c r="J48" s="1" t="str">
        <f>IF(Table1[[#This Row],[Stay_Days]]&lt;3,"Acute_pt.",IF(Table1[[#This Row],[Stay_Days]]&gt;6,"Intermediate_pt.","Chronic_pt."))</f>
        <v>Chronic_pt.</v>
      </c>
      <c r="K48" s="1">
        <v>86146</v>
      </c>
      <c r="L48" s="1" t="s">
        <v>17</v>
      </c>
      <c r="M48" s="1" t="s">
        <v>38</v>
      </c>
    </row>
    <row r="49" spans="1:13" x14ac:dyDescent="0.3">
      <c r="A49" s="1" t="s">
        <v>117</v>
      </c>
      <c r="B49" s="1">
        <v>46</v>
      </c>
      <c r="C49" s="1" t="str">
        <f>IF(Table1[[#This Row],[Age]]&gt;60,"Elder",IF(Table1[[#This Row],[Age]]&gt;25,"Adult","Children"))</f>
        <v>Adult</v>
      </c>
      <c r="D49" s="1" t="s">
        <v>34</v>
      </c>
      <c r="E49" s="1" t="s">
        <v>51</v>
      </c>
      <c r="F49" s="1" t="s">
        <v>102</v>
      </c>
      <c r="G49" s="1" t="s">
        <v>23</v>
      </c>
      <c r="H49" s="1" t="s">
        <v>95</v>
      </c>
      <c r="I49" s="1">
        <v>6</v>
      </c>
      <c r="J49" s="1" t="str">
        <f>IF(Table1[[#This Row],[Stay_Days]]&lt;3,"Acute_pt.",IF(Table1[[#This Row],[Stay_Days]]&gt;6,"Intermediate_pt.","Chronic_pt."))</f>
        <v>Chronic_pt.</v>
      </c>
      <c r="K49" s="1">
        <v>78579</v>
      </c>
      <c r="L49" s="1" t="s">
        <v>24</v>
      </c>
      <c r="M49" s="1" t="s">
        <v>55</v>
      </c>
    </row>
    <row r="50" spans="1:13" x14ac:dyDescent="0.3">
      <c r="A50" s="1" t="s">
        <v>118</v>
      </c>
      <c r="B50" s="1">
        <v>32</v>
      </c>
      <c r="C50" s="1" t="str">
        <f>IF(Table1[[#This Row],[Age]]&gt;60,"Elder",IF(Table1[[#This Row],[Age]]&gt;25,"Adult","Children"))</f>
        <v>Adult</v>
      </c>
      <c r="D50" s="1" t="s">
        <v>34</v>
      </c>
      <c r="E50" s="1" t="s">
        <v>20</v>
      </c>
      <c r="F50" s="1" t="s">
        <v>31</v>
      </c>
      <c r="G50" s="1" t="s">
        <v>84</v>
      </c>
      <c r="H50" s="1" t="s">
        <v>76</v>
      </c>
      <c r="I50" s="1">
        <v>3</v>
      </c>
      <c r="J50" s="1" t="str">
        <f>IF(Table1[[#This Row],[Stay_Days]]&lt;3,"Acute_pt.",IF(Table1[[#This Row],[Stay_Days]]&gt;6,"Intermediate_pt.","Chronic_pt."))</f>
        <v>Chronic_pt.</v>
      </c>
      <c r="K50" s="1">
        <v>81526</v>
      </c>
      <c r="L50" s="1" t="s">
        <v>17</v>
      </c>
      <c r="M50" s="1" t="s">
        <v>18</v>
      </c>
    </row>
    <row r="51" spans="1:13" x14ac:dyDescent="0.3">
      <c r="A51" s="1" t="s">
        <v>119</v>
      </c>
      <c r="B51" s="1">
        <v>33</v>
      </c>
      <c r="C51" s="1" t="str">
        <f>IF(Table1[[#This Row],[Age]]&gt;60,"Elder",IF(Table1[[#This Row],[Age]]&gt;25,"Adult","Children"))</f>
        <v>Adult</v>
      </c>
      <c r="D51" s="1" t="s">
        <v>12</v>
      </c>
      <c r="E51" s="1" t="s">
        <v>13</v>
      </c>
      <c r="F51" s="1" t="s">
        <v>47</v>
      </c>
      <c r="G51" s="1" t="s">
        <v>120</v>
      </c>
      <c r="H51" s="1" t="s">
        <v>76</v>
      </c>
      <c r="I51" s="1">
        <v>8</v>
      </c>
      <c r="J51" s="1" t="str">
        <f>IF(Table1[[#This Row],[Stay_Days]]&lt;3,"Acute_pt.",IF(Table1[[#This Row],[Stay_Days]]&gt;6,"Intermediate_pt.","Chronic_pt."))</f>
        <v>Intermediate_pt.</v>
      </c>
      <c r="K51" s="1">
        <v>99057</v>
      </c>
      <c r="L51" s="1" t="s">
        <v>24</v>
      </c>
      <c r="M51" s="1" t="s">
        <v>55</v>
      </c>
    </row>
    <row r="52" spans="1:13" x14ac:dyDescent="0.3">
      <c r="A52" s="1" t="s">
        <v>121</v>
      </c>
      <c r="B52" s="1">
        <v>62</v>
      </c>
      <c r="C52" s="1" t="str">
        <f>IF(Table1[[#This Row],[Age]]&gt;60,"Elder",IF(Table1[[#This Row],[Age]]&gt;25,"Adult","Children"))</f>
        <v>Elder</v>
      </c>
      <c r="D52" s="1" t="s">
        <v>34</v>
      </c>
      <c r="E52" s="1" t="s">
        <v>51</v>
      </c>
      <c r="F52" s="1" t="s">
        <v>40</v>
      </c>
      <c r="G52" s="1" t="s">
        <v>77</v>
      </c>
      <c r="H52" s="1" t="s">
        <v>66</v>
      </c>
      <c r="I52" s="1">
        <v>5</v>
      </c>
      <c r="J52" s="1" t="str">
        <f>IF(Table1[[#This Row],[Stay_Days]]&lt;3,"Acute_pt.",IF(Table1[[#This Row],[Stay_Days]]&gt;6,"Intermediate_pt.","Chronic_pt."))</f>
        <v>Chronic_pt.</v>
      </c>
      <c r="K52" s="1">
        <v>14071</v>
      </c>
      <c r="L52" s="1" t="s">
        <v>24</v>
      </c>
      <c r="M52" s="1" t="s">
        <v>18</v>
      </c>
    </row>
    <row r="53" spans="1:13" x14ac:dyDescent="0.3">
      <c r="A53" s="1" t="s">
        <v>122</v>
      </c>
      <c r="B53" s="1">
        <v>33</v>
      </c>
      <c r="C53" s="1" t="str">
        <f>IF(Table1[[#This Row],[Age]]&gt;60,"Elder",IF(Table1[[#This Row],[Age]]&gt;25,"Adult","Children"))</f>
        <v>Adult</v>
      </c>
      <c r="D53" s="1" t="s">
        <v>34</v>
      </c>
      <c r="E53" s="1" t="s">
        <v>13</v>
      </c>
      <c r="F53" s="1" t="s">
        <v>40</v>
      </c>
      <c r="G53" s="1" t="s">
        <v>52</v>
      </c>
      <c r="H53" s="1" t="s">
        <v>115</v>
      </c>
      <c r="I53" s="1">
        <v>8</v>
      </c>
      <c r="J53" s="1" t="str">
        <f>IF(Table1[[#This Row],[Stay_Days]]&lt;3,"Acute_pt.",IF(Table1[[#This Row],[Stay_Days]]&gt;6,"Intermediate_pt.","Chronic_pt."))</f>
        <v>Intermediate_pt.</v>
      </c>
      <c r="K53" s="1">
        <v>94471</v>
      </c>
      <c r="L53" s="1" t="s">
        <v>17</v>
      </c>
      <c r="M53" s="1" t="s">
        <v>18</v>
      </c>
    </row>
    <row r="54" spans="1:13" x14ac:dyDescent="0.3">
      <c r="A54" s="1" t="s">
        <v>123</v>
      </c>
      <c r="B54" s="1">
        <v>68</v>
      </c>
      <c r="C54" s="1" t="str">
        <f>IF(Table1[[#This Row],[Age]]&gt;60,"Elder",IF(Table1[[#This Row],[Age]]&gt;25,"Adult","Children"))</f>
        <v>Elder</v>
      </c>
      <c r="D54" s="1" t="s">
        <v>34</v>
      </c>
      <c r="E54" s="1" t="s">
        <v>46</v>
      </c>
      <c r="F54" s="1" t="s">
        <v>40</v>
      </c>
      <c r="G54" s="1" t="s">
        <v>29</v>
      </c>
      <c r="H54" s="1" t="s">
        <v>72</v>
      </c>
      <c r="I54" s="1">
        <v>2</v>
      </c>
      <c r="J54" s="1" t="str">
        <f>IF(Table1[[#This Row],[Stay_Days]]&lt;3,"Acute_pt.",IF(Table1[[#This Row],[Stay_Days]]&gt;6,"Intermediate_pt.","Chronic_pt."))</f>
        <v>Acute_pt.</v>
      </c>
      <c r="K54" s="1">
        <v>95297</v>
      </c>
      <c r="L54" s="1" t="s">
        <v>17</v>
      </c>
      <c r="M54" s="1" t="s">
        <v>55</v>
      </c>
    </row>
    <row r="55" spans="1:13" x14ac:dyDescent="0.3">
      <c r="A55" s="1" t="s">
        <v>124</v>
      </c>
      <c r="B55" s="1">
        <v>21</v>
      </c>
      <c r="C55" s="1" t="str">
        <f>IF(Table1[[#This Row],[Age]]&gt;60,"Elder",IF(Table1[[#This Row],[Age]]&gt;25,"Adult","Children"))</f>
        <v>Children</v>
      </c>
      <c r="D55" s="1" t="s">
        <v>12</v>
      </c>
      <c r="E55" s="1" t="s">
        <v>27</v>
      </c>
      <c r="F55" s="1" t="s">
        <v>59</v>
      </c>
      <c r="G55" s="1" t="s">
        <v>64</v>
      </c>
      <c r="H55" s="1" t="s">
        <v>28</v>
      </c>
      <c r="I55" s="1">
        <v>3</v>
      </c>
      <c r="J55" s="1" t="str">
        <f>IF(Table1[[#This Row],[Stay_Days]]&lt;3,"Acute_pt.",IF(Table1[[#This Row],[Stay_Days]]&gt;6,"Intermediate_pt.","Chronic_pt."))</f>
        <v>Chronic_pt.</v>
      </c>
      <c r="K55" s="1">
        <v>33656</v>
      </c>
      <c r="L55" s="1" t="s">
        <v>17</v>
      </c>
      <c r="M55" s="1" t="s">
        <v>25</v>
      </c>
    </row>
    <row r="56" spans="1:13" x14ac:dyDescent="0.3">
      <c r="A56" s="1" t="s">
        <v>125</v>
      </c>
      <c r="B56" s="1">
        <v>35</v>
      </c>
      <c r="C56" s="1" t="str">
        <f>IF(Table1[[#This Row],[Age]]&gt;60,"Elder",IF(Table1[[#This Row],[Age]]&gt;25,"Adult","Children"))</f>
        <v>Adult</v>
      </c>
      <c r="D56" s="1" t="s">
        <v>12</v>
      </c>
      <c r="E56" s="1" t="s">
        <v>13</v>
      </c>
      <c r="F56" s="1" t="s">
        <v>63</v>
      </c>
      <c r="G56" s="1" t="s">
        <v>80</v>
      </c>
      <c r="H56" s="1" t="s">
        <v>81</v>
      </c>
      <c r="I56" s="1">
        <v>8</v>
      </c>
      <c r="J56" s="1" t="str">
        <f>IF(Table1[[#This Row],[Stay_Days]]&lt;3,"Acute_pt.",IF(Table1[[#This Row],[Stay_Days]]&gt;6,"Intermediate_pt.","Chronic_pt."))</f>
        <v>Intermediate_pt.</v>
      </c>
      <c r="K56" s="1">
        <v>86088</v>
      </c>
      <c r="L56" s="1" t="s">
        <v>24</v>
      </c>
      <c r="M56" s="1" t="s">
        <v>18</v>
      </c>
    </row>
    <row r="57" spans="1:13" x14ac:dyDescent="0.3">
      <c r="A57" s="1" t="s">
        <v>126</v>
      </c>
      <c r="B57" s="1">
        <v>38</v>
      </c>
      <c r="C57" s="1" t="str">
        <f>IF(Table1[[#This Row],[Age]]&gt;60,"Elder",IF(Table1[[#This Row],[Age]]&gt;25,"Adult","Children"))</f>
        <v>Adult</v>
      </c>
      <c r="D57" s="1" t="s">
        <v>34</v>
      </c>
      <c r="E57" s="1" t="s">
        <v>46</v>
      </c>
      <c r="F57" s="1" t="s">
        <v>59</v>
      </c>
      <c r="G57" s="1" t="s">
        <v>127</v>
      </c>
      <c r="H57" s="1" t="s">
        <v>95</v>
      </c>
      <c r="I57" s="1">
        <v>8</v>
      </c>
      <c r="J57" s="1" t="str">
        <f>IF(Table1[[#This Row],[Stay_Days]]&lt;3,"Acute_pt.",IF(Table1[[#This Row],[Stay_Days]]&gt;6,"Intermediate_pt.","Chronic_pt."))</f>
        <v>Intermediate_pt.</v>
      </c>
      <c r="K57" s="1">
        <v>86823</v>
      </c>
      <c r="L57" s="1" t="s">
        <v>17</v>
      </c>
      <c r="M57" s="1" t="s">
        <v>18</v>
      </c>
    </row>
    <row r="58" spans="1:13" x14ac:dyDescent="0.3">
      <c r="A58" s="1" t="s">
        <v>128</v>
      </c>
      <c r="B58" s="1">
        <v>32</v>
      </c>
      <c r="C58" s="1" t="str">
        <f>IF(Table1[[#This Row],[Age]]&gt;60,"Elder",IF(Table1[[#This Row],[Age]]&gt;25,"Adult","Children"))</f>
        <v>Adult</v>
      </c>
      <c r="D58" s="1" t="s">
        <v>12</v>
      </c>
      <c r="E58" s="1" t="s">
        <v>27</v>
      </c>
      <c r="F58" s="1" t="s">
        <v>59</v>
      </c>
      <c r="G58" s="1" t="s">
        <v>88</v>
      </c>
      <c r="H58" s="1" t="s">
        <v>53</v>
      </c>
      <c r="I58" s="1">
        <v>4</v>
      </c>
      <c r="J58" s="1" t="str">
        <f>IF(Table1[[#This Row],[Stay_Days]]&lt;3,"Acute_pt.",IF(Table1[[#This Row],[Stay_Days]]&gt;6,"Intermediate_pt.","Chronic_pt."))</f>
        <v>Chronic_pt.</v>
      </c>
      <c r="K58" s="1">
        <v>71209</v>
      </c>
      <c r="L58" s="1" t="s">
        <v>24</v>
      </c>
      <c r="M58" s="1" t="s">
        <v>25</v>
      </c>
    </row>
    <row r="59" spans="1:13" x14ac:dyDescent="0.3">
      <c r="A59" s="1" t="s">
        <v>129</v>
      </c>
      <c r="B59" s="1">
        <v>35</v>
      </c>
      <c r="C59" s="1" t="str">
        <f>IF(Table1[[#This Row],[Age]]&gt;60,"Elder",IF(Table1[[#This Row],[Age]]&gt;25,"Adult","Children"))</f>
        <v>Adult</v>
      </c>
      <c r="D59" s="1" t="s">
        <v>34</v>
      </c>
      <c r="E59" s="1" t="s">
        <v>51</v>
      </c>
      <c r="F59" s="1" t="s">
        <v>35</v>
      </c>
      <c r="G59" s="1" t="s">
        <v>32</v>
      </c>
      <c r="H59" s="1" t="s">
        <v>88</v>
      </c>
      <c r="I59" s="1">
        <v>6</v>
      </c>
      <c r="J59" s="1" t="str">
        <f>IF(Table1[[#This Row],[Stay_Days]]&lt;3,"Acute_pt.",IF(Table1[[#This Row],[Stay_Days]]&gt;6,"Intermediate_pt.","Chronic_pt."))</f>
        <v>Chronic_pt.</v>
      </c>
      <c r="K59" s="1">
        <v>93490</v>
      </c>
      <c r="L59" s="1" t="s">
        <v>17</v>
      </c>
      <c r="M59" s="1" t="s">
        <v>25</v>
      </c>
    </row>
    <row r="60" spans="1:13" x14ac:dyDescent="0.3">
      <c r="A60" s="1" t="s">
        <v>130</v>
      </c>
      <c r="B60" s="1">
        <v>23</v>
      </c>
      <c r="C60" s="1" t="str">
        <f>IF(Table1[[#This Row],[Age]]&gt;60,"Elder",IF(Table1[[#This Row],[Age]]&gt;25,"Adult","Children"))</f>
        <v>Children</v>
      </c>
      <c r="D60" s="1" t="s">
        <v>12</v>
      </c>
      <c r="E60" s="1" t="s">
        <v>51</v>
      </c>
      <c r="F60" s="1" t="s">
        <v>31</v>
      </c>
      <c r="G60" s="1" t="s">
        <v>48</v>
      </c>
      <c r="H60" s="1" t="s">
        <v>66</v>
      </c>
      <c r="I60" s="1">
        <v>2</v>
      </c>
      <c r="J60" s="1" t="str">
        <f>IF(Table1[[#This Row],[Stay_Days]]&lt;3,"Acute_pt.",IF(Table1[[#This Row],[Stay_Days]]&gt;6,"Intermediate_pt.","Chronic_pt."))</f>
        <v>Acute_pt.</v>
      </c>
      <c r="K60" s="1">
        <v>31540</v>
      </c>
      <c r="L60" s="1" t="s">
        <v>17</v>
      </c>
      <c r="M60" s="1" t="s">
        <v>57</v>
      </c>
    </row>
    <row r="61" spans="1:13" x14ac:dyDescent="0.3">
      <c r="A61" s="1" t="s">
        <v>131</v>
      </c>
      <c r="B61" s="1">
        <v>29</v>
      </c>
      <c r="C61" s="1" t="str">
        <f>IF(Table1[[#This Row],[Age]]&gt;60,"Elder",IF(Table1[[#This Row],[Age]]&gt;25,"Adult","Children"))</f>
        <v>Adult</v>
      </c>
      <c r="D61" s="1" t="s">
        <v>12</v>
      </c>
      <c r="E61" s="1" t="s">
        <v>46</v>
      </c>
      <c r="F61" s="1" t="s">
        <v>21</v>
      </c>
      <c r="G61" s="1" t="s">
        <v>80</v>
      </c>
      <c r="H61" s="1" t="s">
        <v>106</v>
      </c>
      <c r="I61" s="1">
        <v>5</v>
      </c>
      <c r="J61" s="1" t="str">
        <f>IF(Table1[[#This Row],[Stay_Days]]&lt;3,"Acute_pt.",IF(Table1[[#This Row],[Stay_Days]]&gt;6,"Intermediate_pt.","Chronic_pt."))</f>
        <v>Chronic_pt.</v>
      </c>
      <c r="K61" s="1">
        <v>84881</v>
      </c>
      <c r="L61" s="1" t="s">
        <v>24</v>
      </c>
      <c r="M61" s="1" t="s">
        <v>55</v>
      </c>
    </row>
    <row r="62" spans="1:13" x14ac:dyDescent="0.3">
      <c r="A62" s="1" t="s">
        <v>132</v>
      </c>
      <c r="B62" s="1">
        <v>34</v>
      </c>
      <c r="C62" s="1" t="str">
        <f>IF(Table1[[#This Row],[Age]]&gt;60,"Elder",IF(Table1[[#This Row],[Age]]&gt;25,"Adult","Children"))</f>
        <v>Adult</v>
      </c>
      <c r="D62" s="1" t="s">
        <v>12</v>
      </c>
      <c r="E62" s="1" t="s">
        <v>20</v>
      </c>
      <c r="F62" s="1" t="s">
        <v>47</v>
      </c>
      <c r="G62" s="1" t="s">
        <v>60</v>
      </c>
      <c r="H62" s="1" t="s">
        <v>28</v>
      </c>
      <c r="I62" s="1">
        <v>2</v>
      </c>
      <c r="J62" s="1" t="str">
        <f>IF(Table1[[#This Row],[Stay_Days]]&lt;3,"Acute_pt.",IF(Table1[[#This Row],[Stay_Days]]&gt;6,"Intermediate_pt.","Chronic_pt."))</f>
        <v>Acute_pt.</v>
      </c>
      <c r="K62" s="1">
        <v>80674</v>
      </c>
      <c r="L62" s="1" t="s">
        <v>24</v>
      </c>
      <c r="M62" s="1" t="s">
        <v>38</v>
      </c>
    </row>
    <row r="63" spans="1:13" x14ac:dyDescent="0.3">
      <c r="A63" s="1" t="s">
        <v>133</v>
      </c>
      <c r="B63" s="1">
        <v>52</v>
      </c>
      <c r="C63" s="1" t="str">
        <f>IF(Table1[[#This Row],[Age]]&gt;60,"Elder",IF(Table1[[#This Row],[Age]]&gt;25,"Adult","Children"))</f>
        <v>Adult</v>
      </c>
      <c r="D63" s="1" t="s">
        <v>12</v>
      </c>
      <c r="E63" s="1" t="s">
        <v>20</v>
      </c>
      <c r="F63" s="1" t="s">
        <v>59</v>
      </c>
      <c r="G63" s="1" t="s">
        <v>127</v>
      </c>
      <c r="H63" s="1" t="s">
        <v>16</v>
      </c>
      <c r="I63" s="1">
        <v>7</v>
      </c>
      <c r="J63" s="1" t="str">
        <f>IF(Table1[[#This Row],[Stay_Days]]&lt;3,"Acute_pt.",IF(Table1[[#This Row],[Stay_Days]]&gt;6,"Intermediate_pt.","Chronic_pt."))</f>
        <v>Intermediate_pt.</v>
      </c>
      <c r="K63" s="1">
        <v>75067</v>
      </c>
      <c r="L63" s="1" t="s">
        <v>24</v>
      </c>
      <c r="M63" s="1" t="s">
        <v>55</v>
      </c>
    </row>
    <row r="64" spans="1:13" x14ac:dyDescent="0.3">
      <c r="A64" s="1" t="s">
        <v>134</v>
      </c>
      <c r="B64" s="1">
        <v>33</v>
      </c>
      <c r="C64" s="1" t="str">
        <f>IF(Table1[[#This Row],[Age]]&gt;60,"Elder",IF(Table1[[#This Row],[Age]]&gt;25,"Adult","Children"))</f>
        <v>Adult</v>
      </c>
      <c r="D64" s="1" t="s">
        <v>12</v>
      </c>
      <c r="E64" s="1" t="s">
        <v>13</v>
      </c>
      <c r="F64" s="1" t="s">
        <v>31</v>
      </c>
      <c r="G64" s="1" t="s">
        <v>52</v>
      </c>
      <c r="H64" s="1" t="s">
        <v>90</v>
      </c>
      <c r="I64" s="1">
        <v>6</v>
      </c>
      <c r="J64" s="1" t="str">
        <f>IF(Table1[[#This Row],[Stay_Days]]&lt;3,"Acute_pt.",IF(Table1[[#This Row],[Stay_Days]]&gt;6,"Intermediate_pt.","Chronic_pt."))</f>
        <v>Chronic_pt.</v>
      </c>
      <c r="K64" s="1">
        <v>15763</v>
      </c>
      <c r="L64" s="1" t="s">
        <v>17</v>
      </c>
      <c r="M64" s="1" t="s">
        <v>38</v>
      </c>
    </row>
    <row r="65" spans="1:13" x14ac:dyDescent="0.3">
      <c r="A65" s="1" t="s">
        <v>135</v>
      </c>
      <c r="B65" s="1">
        <v>45</v>
      </c>
      <c r="C65" s="1" t="str">
        <f>IF(Table1[[#This Row],[Age]]&gt;60,"Elder",IF(Table1[[#This Row],[Age]]&gt;25,"Adult","Children"))</f>
        <v>Adult</v>
      </c>
      <c r="D65" s="1" t="s">
        <v>12</v>
      </c>
      <c r="E65" s="1" t="s">
        <v>51</v>
      </c>
      <c r="F65" s="1" t="s">
        <v>40</v>
      </c>
      <c r="G65" s="1" t="s">
        <v>60</v>
      </c>
      <c r="H65" s="1" t="s">
        <v>29</v>
      </c>
      <c r="I65" s="1">
        <v>8</v>
      </c>
      <c r="J65" s="1" t="str">
        <f>IF(Table1[[#This Row],[Stay_Days]]&lt;3,"Acute_pt.",IF(Table1[[#This Row],[Stay_Days]]&gt;6,"Intermediate_pt.","Chronic_pt."))</f>
        <v>Intermediate_pt.</v>
      </c>
      <c r="K65" s="1">
        <v>12574</v>
      </c>
      <c r="L65" s="1" t="s">
        <v>17</v>
      </c>
      <c r="M65" s="1" t="s">
        <v>38</v>
      </c>
    </row>
    <row r="66" spans="1:13" x14ac:dyDescent="0.3">
      <c r="A66" s="1" t="s">
        <v>136</v>
      </c>
      <c r="B66" s="1">
        <v>56</v>
      </c>
      <c r="C66" s="1" t="str">
        <f>IF(Table1[[#This Row],[Age]]&gt;60,"Elder",IF(Table1[[#This Row],[Age]]&gt;25,"Adult","Children"))</f>
        <v>Adult</v>
      </c>
      <c r="D66" s="1" t="s">
        <v>12</v>
      </c>
      <c r="E66" s="1" t="s">
        <v>20</v>
      </c>
      <c r="F66" s="1" t="s">
        <v>40</v>
      </c>
      <c r="G66" s="1" t="s">
        <v>29</v>
      </c>
      <c r="H66" s="1" t="s">
        <v>36</v>
      </c>
      <c r="I66" s="1">
        <v>6</v>
      </c>
      <c r="J66" s="1" t="str">
        <f>IF(Table1[[#This Row],[Stay_Days]]&lt;3,"Acute_pt.",IF(Table1[[#This Row],[Stay_Days]]&gt;6,"Intermediate_pt.","Chronic_pt."))</f>
        <v>Chronic_pt.</v>
      </c>
      <c r="K66" s="1">
        <v>40075</v>
      </c>
      <c r="L66" s="1" t="s">
        <v>17</v>
      </c>
      <c r="M66" s="1" t="s">
        <v>57</v>
      </c>
    </row>
    <row r="67" spans="1:13" x14ac:dyDescent="0.3">
      <c r="A67" s="1" t="s">
        <v>137</v>
      </c>
      <c r="B67" s="1">
        <v>35</v>
      </c>
      <c r="C67" s="1" t="str">
        <f>IF(Table1[[#This Row],[Age]]&gt;60,"Elder",IF(Table1[[#This Row],[Age]]&gt;25,"Adult","Children"))</f>
        <v>Adult</v>
      </c>
      <c r="D67" s="1" t="s">
        <v>34</v>
      </c>
      <c r="E67" s="1" t="s">
        <v>20</v>
      </c>
      <c r="F67" s="1" t="s">
        <v>21</v>
      </c>
      <c r="G67" s="1" t="s">
        <v>95</v>
      </c>
      <c r="H67" s="1" t="s">
        <v>60</v>
      </c>
      <c r="I67" s="1">
        <v>5</v>
      </c>
      <c r="J67" s="1" t="str">
        <f>IF(Table1[[#This Row],[Stay_Days]]&lt;3,"Acute_pt.",IF(Table1[[#This Row],[Stay_Days]]&gt;6,"Intermediate_pt.","Chronic_pt."))</f>
        <v>Chronic_pt.</v>
      </c>
      <c r="K67" s="1">
        <v>43762</v>
      </c>
      <c r="L67" s="1" t="s">
        <v>24</v>
      </c>
      <c r="M67" s="1" t="s">
        <v>18</v>
      </c>
    </row>
    <row r="68" spans="1:13" x14ac:dyDescent="0.3">
      <c r="A68" s="1" t="s">
        <v>138</v>
      </c>
      <c r="B68" s="1">
        <v>63</v>
      </c>
      <c r="C68" s="1" t="str">
        <f>IF(Table1[[#This Row],[Age]]&gt;60,"Elder",IF(Table1[[#This Row],[Age]]&gt;25,"Adult","Children"))</f>
        <v>Elder</v>
      </c>
      <c r="D68" s="1" t="s">
        <v>34</v>
      </c>
      <c r="E68" s="1" t="s">
        <v>27</v>
      </c>
      <c r="F68" s="1" t="s">
        <v>102</v>
      </c>
      <c r="G68" s="1" t="s">
        <v>68</v>
      </c>
      <c r="H68" s="1" t="s">
        <v>53</v>
      </c>
      <c r="I68" s="1">
        <v>5</v>
      </c>
      <c r="J68" s="1" t="str">
        <f>IF(Table1[[#This Row],[Stay_Days]]&lt;3,"Acute_pt.",IF(Table1[[#This Row],[Stay_Days]]&gt;6,"Intermediate_pt.","Chronic_pt."))</f>
        <v>Chronic_pt.</v>
      </c>
      <c r="K68" s="1">
        <v>59680</v>
      </c>
      <c r="L68" s="1" t="s">
        <v>24</v>
      </c>
      <c r="M68" s="1" t="s">
        <v>18</v>
      </c>
    </row>
    <row r="69" spans="1:13" x14ac:dyDescent="0.3">
      <c r="A69" s="1" t="s">
        <v>139</v>
      </c>
      <c r="B69" s="1">
        <v>24</v>
      </c>
      <c r="C69" s="1" t="str">
        <f>IF(Table1[[#This Row],[Age]]&gt;60,"Elder",IF(Table1[[#This Row],[Age]]&gt;25,"Adult","Children"))</f>
        <v>Children</v>
      </c>
      <c r="D69" s="1" t="s">
        <v>12</v>
      </c>
      <c r="E69" s="1" t="s">
        <v>46</v>
      </c>
      <c r="F69" s="1" t="s">
        <v>43</v>
      </c>
      <c r="G69" s="1" t="s">
        <v>32</v>
      </c>
      <c r="H69" s="1" t="s">
        <v>68</v>
      </c>
      <c r="I69" s="1">
        <v>5</v>
      </c>
      <c r="J69" s="1" t="str">
        <f>IF(Table1[[#This Row],[Stay_Days]]&lt;3,"Acute_pt.",IF(Table1[[#This Row],[Stay_Days]]&gt;6,"Intermediate_pt.","Chronic_pt."))</f>
        <v>Chronic_pt.</v>
      </c>
      <c r="K69" s="1">
        <v>39293</v>
      </c>
      <c r="L69" s="1" t="s">
        <v>24</v>
      </c>
      <c r="M69" s="1" t="s">
        <v>38</v>
      </c>
    </row>
    <row r="70" spans="1:13" x14ac:dyDescent="0.3">
      <c r="A70" s="1" t="s">
        <v>140</v>
      </c>
      <c r="B70" s="1">
        <v>21</v>
      </c>
      <c r="C70" s="1" t="str">
        <f>IF(Table1[[#This Row],[Age]]&gt;60,"Elder",IF(Table1[[#This Row],[Age]]&gt;25,"Adult","Children"))</f>
        <v>Children</v>
      </c>
      <c r="D70" s="1" t="s">
        <v>12</v>
      </c>
      <c r="E70" s="1" t="s">
        <v>20</v>
      </c>
      <c r="F70" s="1" t="s">
        <v>59</v>
      </c>
      <c r="G70" s="1" t="s">
        <v>72</v>
      </c>
      <c r="H70" s="1" t="s">
        <v>115</v>
      </c>
      <c r="I70" s="1">
        <v>7</v>
      </c>
      <c r="J70" s="1" t="str">
        <f>IF(Table1[[#This Row],[Stay_Days]]&lt;3,"Acute_pt.",IF(Table1[[#This Row],[Stay_Days]]&gt;6,"Intermediate_pt.","Chronic_pt."))</f>
        <v>Intermediate_pt.</v>
      </c>
      <c r="K70" s="1">
        <v>68915</v>
      </c>
      <c r="L70" s="1" t="s">
        <v>17</v>
      </c>
      <c r="M70" s="1" t="s">
        <v>57</v>
      </c>
    </row>
    <row r="71" spans="1:13" x14ac:dyDescent="0.3">
      <c r="A71" s="1" t="s">
        <v>141</v>
      </c>
      <c r="B71" s="1">
        <v>58</v>
      </c>
      <c r="C71" s="1" t="str">
        <f>IF(Table1[[#This Row],[Age]]&gt;60,"Elder",IF(Table1[[#This Row],[Age]]&gt;25,"Adult","Children"))</f>
        <v>Adult</v>
      </c>
      <c r="D71" s="1" t="s">
        <v>34</v>
      </c>
      <c r="E71" s="1" t="s">
        <v>51</v>
      </c>
      <c r="F71" s="1" t="s">
        <v>35</v>
      </c>
      <c r="G71" s="1" t="s">
        <v>29</v>
      </c>
      <c r="H71" s="1" t="s">
        <v>80</v>
      </c>
      <c r="I71" s="1">
        <v>5</v>
      </c>
      <c r="J71" s="1" t="str">
        <f>IF(Table1[[#This Row],[Stay_Days]]&lt;3,"Acute_pt.",IF(Table1[[#This Row],[Stay_Days]]&gt;6,"Intermediate_pt.","Chronic_pt."))</f>
        <v>Chronic_pt.</v>
      </c>
      <c r="K71" s="1">
        <v>77638</v>
      </c>
      <c r="L71" s="1" t="s">
        <v>24</v>
      </c>
      <c r="M71" s="1" t="s">
        <v>55</v>
      </c>
    </row>
    <row r="72" spans="1:13" x14ac:dyDescent="0.3">
      <c r="A72" s="1" t="s">
        <v>142</v>
      </c>
      <c r="B72" s="1">
        <v>49</v>
      </c>
      <c r="C72" s="1" t="str">
        <f>IF(Table1[[#This Row],[Age]]&gt;60,"Elder",IF(Table1[[#This Row],[Age]]&gt;25,"Adult","Children"))</f>
        <v>Adult</v>
      </c>
      <c r="D72" s="1" t="s">
        <v>12</v>
      </c>
      <c r="E72" s="1" t="s">
        <v>51</v>
      </c>
      <c r="F72" s="1" t="s">
        <v>59</v>
      </c>
      <c r="G72" s="1" t="s">
        <v>68</v>
      </c>
      <c r="H72" s="1" t="s">
        <v>80</v>
      </c>
      <c r="I72" s="1">
        <v>2</v>
      </c>
      <c r="J72" s="1" t="str">
        <f>IF(Table1[[#This Row],[Stay_Days]]&lt;3,"Acute_pt.",IF(Table1[[#This Row],[Stay_Days]]&gt;6,"Intermediate_pt.","Chronic_pt."))</f>
        <v>Acute_pt.</v>
      </c>
      <c r="K72" s="1">
        <v>81152</v>
      </c>
      <c r="L72" s="1" t="s">
        <v>17</v>
      </c>
      <c r="M72" s="1" t="s">
        <v>55</v>
      </c>
    </row>
    <row r="73" spans="1:13" x14ac:dyDescent="0.3">
      <c r="A73" s="1" t="s">
        <v>143</v>
      </c>
      <c r="B73" s="1">
        <v>67</v>
      </c>
      <c r="C73" s="1" t="str">
        <f>IF(Table1[[#This Row],[Age]]&gt;60,"Elder",IF(Table1[[#This Row],[Age]]&gt;25,"Adult","Children"))</f>
        <v>Elder</v>
      </c>
      <c r="D73" s="1" t="s">
        <v>12</v>
      </c>
      <c r="E73" s="1" t="s">
        <v>46</v>
      </c>
      <c r="F73" s="1" t="s">
        <v>59</v>
      </c>
      <c r="G73" s="1" t="s">
        <v>60</v>
      </c>
      <c r="H73" s="1" t="s">
        <v>71</v>
      </c>
      <c r="I73" s="1">
        <v>7</v>
      </c>
      <c r="J73" s="1" t="str">
        <f>IF(Table1[[#This Row],[Stay_Days]]&lt;3,"Acute_pt.",IF(Table1[[#This Row],[Stay_Days]]&gt;6,"Intermediate_pt.","Chronic_pt."))</f>
        <v>Intermediate_pt.</v>
      </c>
      <c r="K73" s="1">
        <v>41170</v>
      </c>
      <c r="L73" s="1" t="s">
        <v>24</v>
      </c>
      <c r="M73" s="1" t="s">
        <v>38</v>
      </c>
    </row>
    <row r="74" spans="1:13" x14ac:dyDescent="0.3">
      <c r="A74" s="1" t="s">
        <v>144</v>
      </c>
      <c r="B74" s="1">
        <v>41</v>
      </c>
      <c r="C74" s="1" t="str">
        <f>IF(Table1[[#This Row],[Age]]&gt;60,"Elder",IF(Table1[[#This Row],[Age]]&gt;25,"Adult","Children"))</f>
        <v>Adult</v>
      </c>
      <c r="D74" s="1" t="s">
        <v>12</v>
      </c>
      <c r="E74" s="1" t="s">
        <v>51</v>
      </c>
      <c r="F74" s="1" t="s">
        <v>31</v>
      </c>
      <c r="G74" s="1" t="s">
        <v>120</v>
      </c>
      <c r="H74" s="1" t="s">
        <v>76</v>
      </c>
      <c r="I74" s="1">
        <v>8</v>
      </c>
      <c r="J74" s="1" t="str">
        <f>IF(Table1[[#This Row],[Stay_Days]]&lt;3,"Acute_pt.",IF(Table1[[#This Row],[Stay_Days]]&gt;6,"Intermediate_pt.","Chronic_pt."))</f>
        <v>Intermediate_pt.</v>
      </c>
      <c r="K74" s="1">
        <v>45657</v>
      </c>
      <c r="L74" s="1" t="s">
        <v>24</v>
      </c>
      <c r="M74" s="1" t="s">
        <v>38</v>
      </c>
    </row>
    <row r="75" spans="1:13" x14ac:dyDescent="0.3">
      <c r="A75" s="1" t="s">
        <v>145</v>
      </c>
      <c r="B75" s="1">
        <v>46</v>
      </c>
      <c r="C75" s="1" t="str">
        <f>IF(Table1[[#This Row],[Age]]&gt;60,"Elder",IF(Table1[[#This Row],[Age]]&gt;25,"Adult","Children"))</f>
        <v>Adult</v>
      </c>
      <c r="D75" s="1" t="s">
        <v>12</v>
      </c>
      <c r="E75" s="1" t="s">
        <v>13</v>
      </c>
      <c r="F75" s="1" t="s">
        <v>40</v>
      </c>
      <c r="G75" s="1" t="s">
        <v>72</v>
      </c>
      <c r="H75" s="1" t="s">
        <v>36</v>
      </c>
      <c r="I75" s="1">
        <v>4</v>
      </c>
      <c r="J75" s="1" t="str">
        <f>IF(Table1[[#This Row],[Stay_Days]]&lt;3,"Acute_pt.",IF(Table1[[#This Row],[Stay_Days]]&gt;6,"Intermediate_pt.","Chronic_pt."))</f>
        <v>Chronic_pt.</v>
      </c>
      <c r="K75" s="1">
        <v>36433</v>
      </c>
      <c r="L75" s="1" t="s">
        <v>17</v>
      </c>
      <c r="M75" s="1" t="s">
        <v>18</v>
      </c>
    </row>
    <row r="76" spans="1:13" x14ac:dyDescent="0.3">
      <c r="A76" s="1" t="s">
        <v>146</v>
      </c>
      <c r="B76" s="1">
        <v>64</v>
      </c>
      <c r="C76" s="1" t="str">
        <f>IF(Table1[[#This Row],[Age]]&gt;60,"Elder",IF(Table1[[#This Row],[Age]]&gt;25,"Adult","Children"))</f>
        <v>Elder</v>
      </c>
      <c r="D76" s="1" t="s">
        <v>12</v>
      </c>
      <c r="E76" s="1" t="s">
        <v>51</v>
      </c>
      <c r="F76" s="1" t="s">
        <v>31</v>
      </c>
      <c r="G76" s="1" t="s">
        <v>41</v>
      </c>
      <c r="H76" s="1" t="s">
        <v>71</v>
      </c>
      <c r="I76" s="1">
        <v>3</v>
      </c>
      <c r="J76" s="1" t="str">
        <f>IF(Table1[[#This Row],[Stay_Days]]&lt;3,"Acute_pt.",IF(Table1[[#This Row],[Stay_Days]]&gt;6,"Intermediate_pt.","Chronic_pt."))</f>
        <v>Chronic_pt.</v>
      </c>
      <c r="K76" s="1">
        <v>83466</v>
      </c>
      <c r="L76" s="1" t="s">
        <v>24</v>
      </c>
      <c r="M76" s="1" t="s">
        <v>38</v>
      </c>
    </row>
    <row r="77" spans="1:13" x14ac:dyDescent="0.3">
      <c r="A77" s="1" t="s">
        <v>147</v>
      </c>
      <c r="B77" s="1">
        <v>24</v>
      </c>
      <c r="C77" s="1" t="str">
        <f>IF(Table1[[#This Row],[Age]]&gt;60,"Elder",IF(Table1[[#This Row],[Age]]&gt;25,"Adult","Children"))</f>
        <v>Children</v>
      </c>
      <c r="D77" s="1" t="s">
        <v>34</v>
      </c>
      <c r="E77" s="1" t="s">
        <v>13</v>
      </c>
      <c r="F77" s="1" t="s">
        <v>102</v>
      </c>
      <c r="G77" s="1" t="s">
        <v>64</v>
      </c>
      <c r="H77" s="1" t="s">
        <v>28</v>
      </c>
      <c r="I77" s="1">
        <v>3</v>
      </c>
      <c r="J77" s="1" t="str">
        <f>IF(Table1[[#This Row],[Stay_Days]]&lt;3,"Acute_pt.",IF(Table1[[#This Row],[Stay_Days]]&gt;6,"Intermediate_pt.","Chronic_pt."))</f>
        <v>Chronic_pt.</v>
      </c>
      <c r="K77" s="1">
        <v>59922</v>
      </c>
      <c r="L77" s="1" t="s">
        <v>24</v>
      </c>
      <c r="M77" s="1" t="s">
        <v>38</v>
      </c>
    </row>
    <row r="78" spans="1:13" x14ac:dyDescent="0.3">
      <c r="A78" s="1" t="s">
        <v>148</v>
      </c>
      <c r="B78" s="1">
        <v>48</v>
      </c>
      <c r="C78" s="1" t="str">
        <f>IF(Table1[[#This Row],[Age]]&gt;60,"Elder",IF(Table1[[#This Row],[Age]]&gt;25,"Adult","Children"))</f>
        <v>Adult</v>
      </c>
      <c r="D78" s="1" t="s">
        <v>12</v>
      </c>
      <c r="E78" s="1" t="s">
        <v>20</v>
      </c>
      <c r="F78" s="1" t="s">
        <v>59</v>
      </c>
      <c r="G78" s="1" t="s">
        <v>49</v>
      </c>
      <c r="H78" s="1" t="s">
        <v>88</v>
      </c>
      <c r="I78" s="1">
        <v>7</v>
      </c>
      <c r="J78" s="1" t="str">
        <f>IF(Table1[[#This Row],[Stay_Days]]&lt;3,"Acute_pt.",IF(Table1[[#This Row],[Stay_Days]]&gt;6,"Intermediate_pt.","Chronic_pt."))</f>
        <v>Intermediate_pt.</v>
      </c>
      <c r="K78" s="1">
        <v>91014</v>
      </c>
      <c r="L78" s="1" t="s">
        <v>17</v>
      </c>
      <c r="M78" s="1" t="s">
        <v>55</v>
      </c>
    </row>
    <row r="79" spans="1:13" x14ac:dyDescent="0.3">
      <c r="A79" s="1" t="s">
        <v>149</v>
      </c>
      <c r="B79" s="1">
        <v>45</v>
      </c>
      <c r="C79" s="1" t="str">
        <f>IF(Table1[[#This Row],[Age]]&gt;60,"Elder",IF(Table1[[#This Row],[Age]]&gt;25,"Adult","Children"))</f>
        <v>Adult</v>
      </c>
      <c r="D79" s="1" t="s">
        <v>12</v>
      </c>
      <c r="E79" s="1" t="s">
        <v>13</v>
      </c>
      <c r="F79" s="1" t="s">
        <v>43</v>
      </c>
      <c r="G79" s="1" t="s">
        <v>48</v>
      </c>
      <c r="H79" s="1" t="s">
        <v>71</v>
      </c>
      <c r="I79" s="1">
        <v>6</v>
      </c>
      <c r="J79" s="1" t="str">
        <f>IF(Table1[[#This Row],[Stay_Days]]&lt;3,"Acute_pt.",IF(Table1[[#This Row],[Stay_Days]]&gt;6,"Intermediate_pt.","Chronic_pt."))</f>
        <v>Chronic_pt.</v>
      </c>
      <c r="K79" s="1">
        <v>44341</v>
      </c>
      <c r="L79" s="1" t="s">
        <v>17</v>
      </c>
      <c r="M79" s="1" t="s">
        <v>18</v>
      </c>
    </row>
    <row r="80" spans="1:13" x14ac:dyDescent="0.3">
      <c r="A80" s="1" t="s">
        <v>150</v>
      </c>
      <c r="B80" s="1">
        <v>58</v>
      </c>
      <c r="C80" s="1" t="str">
        <f>IF(Table1[[#This Row],[Age]]&gt;60,"Elder",IF(Table1[[#This Row],[Age]]&gt;25,"Adult","Children"))</f>
        <v>Adult</v>
      </c>
      <c r="D80" s="1" t="s">
        <v>12</v>
      </c>
      <c r="E80" s="1" t="s">
        <v>27</v>
      </c>
      <c r="F80" s="1" t="s">
        <v>59</v>
      </c>
      <c r="G80" s="1" t="s">
        <v>23</v>
      </c>
      <c r="H80" s="1" t="s">
        <v>95</v>
      </c>
      <c r="I80" s="1">
        <v>6</v>
      </c>
      <c r="J80" s="1" t="str">
        <f>IF(Table1[[#This Row],[Stay_Days]]&lt;3,"Acute_pt.",IF(Table1[[#This Row],[Stay_Days]]&gt;6,"Intermediate_pt.","Chronic_pt."))</f>
        <v>Chronic_pt.</v>
      </c>
      <c r="K80" s="1">
        <v>17081</v>
      </c>
      <c r="L80" s="1" t="s">
        <v>24</v>
      </c>
      <c r="M80" s="1" t="s">
        <v>57</v>
      </c>
    </row>
    <row r="81" spans="1:13" x14ac:dyDescent="0.3">
      <c r="A81" s="1" t="s">
        <v>151</v>
      </c>
      <c r="B81" s="1">
        <v>68</v>
      </c>
      <c r="C81" s="1" t="str">
        <f>IF(Table1[[#This Row],[Age]]&gt;60,"Elder",IF(Table1[[#This Row],[Age]]&gt;25,"Adult","Children"))</f>
        <v>Elder</v>
      </c>
      <c r="D81" s="1" t="s">
        <v>34</v>
      </c>
      <c r="E81" s="1" t="s">
        <v>46</v>
      </c>
      <c r="F81" s="1" t="s">
        <v>40</v>
      </c>
      <c r="G81" s="1" t="s">
        <v>80</v>
      </c>
      <c r="H81" s="1" t="s">
        <v>115</v>
      </c>
      <c r="I81" s="1">
        <v>4</v>
      </c>
      <c r="J81" s="1" t="str">
        <f>IF(Table1[[#This Row],[Stay_Days]]&lt;3,"Acute_pt.",IF(Table1[[#This Row],[Stay_Days]]&gt;6,"Intermediate_pt.","Chronic_pt."))</f>
        <v>Chronic_pt.</v>
      </c>
      <c r="K81" s="1">
        <v>96377</v>
      </c>
      <c r="L81" s="1" t="s">
        <v>24</v>
      </c>
      <c r="M81" s="1" t="s">
        <v>25</v>
      </c>
    </row>
    <row r="82" spans="1:13" x14ac:dyDescent="0.3">
      <c r="A82" s="1" t="s">
        <v>152</v>
      </c>
      <c r="B82" s="1">
        <v>22</v>
      </c>
      <c r="C82" s="1" t="str">
        <f>IF(Table1[[#This Row],[Age]]&gt;60,"Elder",IF(Table1[[#This Row],[Age]]&gt;25,"Adult","Children"))</f>
        <v>Children</v>
      </c>
      <c r="D82" s="1" t="s">
        <v>12</v>
      </c>
      <c r="E82" s="1" t="s">
        <v>51</v>
      </c>
      <c r="F82" s="1" t="s">
        <v>59</v>
      </c>
      <c r="G82" s="1" t="s">
        <v>76</v>
      </c>
      <c r="H82" s="1" t="s">
        <v>60</v>
      </c>
      <c r="I82" s="1">
        <v>4</v>
      </c>
      <c r="J82" s="1" t="str">
        <f>IF(Table1[[#This Row],[Stay_Days]]&lt;3,"Acute_pt.",IF(Table1[[#This Row],[Stay_Days]]&gt;6,"Intermediate_pt.","Chronic_pt."))</f>
        <v>Chronic_pt.</v>
      </c>
      <c r="K82" s="1">
        <v>20829</v>
      </c>
      <c r="L82" s="1" t="s">
        <v>24</v>
      </c>
      <c r="M82" s="1" t="s">
        <v>55</v>
      </c>
    </row>
    <row r="83" spans="1:13" x14ac:dyDescent="0.3">
      <c r="A83" s="1" t="s">
        <v>153</v>
      </c>
      <c r="B83" s="1">
        <v>44</v>
      </c>
      <c r="C83" s="1" t="str">
        <f>IF(Table1[[#This Row],[Age]]&gt;60,"Elder",IF(Table1[[#This Row],[Age]]&gt;25,"Adult","Children"))</f>
        <v>Adult</v>
      </c>
      <c r="D83" s="1" t="s">
        <v>12</v>
      </c>
      <c r="E83" s="1" t="s">
        <v>13</v>
      </c>
      <c r="F83" s="1" t="s">
        <v>63</v>
      </c>
      <c r="G83" s="1" t="s">
        <v>74</v>
      </c>
      <c r="H83" s="1" t="s">
        <v>95</v>
      </c>
      <c r="I83" s="1">
        <v>5</v>
      </c>
      <c r="J83" s="1" t="str">
        <f>IF(Table1[[#This Row],[Stay_Days]]&lt;3,"Acute_pt.",IF(Table1[[#This Row],[Stay_Days]]&gt;6,"Intermediate_pt.","Chronic_pt."))</f>
        <v>Chronic_pt.</v>
      </c>
      <c r="K83" s="1">
        <v>10552</v>
      </c>
      <c r="L83" s="1" t="s">
        <v>17</v>
      </c>
      <c r="M83" s="1" t="s">
        <v>55</v>
      </c>
    </row>
    <row r="84" spans="1:13" x14ac:dyDescent="0.3">
      <c r="A84" s="1" t="s">
        <v>154</v>
      </c>
      <c r="B84" s="1">
        <v>37</v>
      </c>
      <c r="C84" s="1" t="str">
        <f>IF(Table1[[#This Row],[Age]]&gt;60,"Elder",IF(Table1[[#This Row],[Age]]&gt;25,"Adult","Children"))</f>
        <v>Adult</v>
      </c>
      <c r="D84" s="1" t="s">
        <v>12</v>
      </c>
      <c r="E84" s="1" t="s">
        <v>46</v>
      </c>
      <c r="F84" s="1" t="s">
        <v>63</v>
      </c>
      <c r="G84" s="1" t="s">
        <v>74</v>
      </c>
      <c r="H84" s="1" t="s">
        <v>95</v>
      </c>
      <c r="I84" s="1">
        <v>5</v>
      </c>
      <c r="J84" s="1" t="str">
        <f>IF(Table1[[#This Row],[Stay_Days]]&lt;3,"Acute_pt.",IF(Table1[[#This Row],[Stay_Days]]&gt;6,"Intermediate_pt.","Chronic_pt."))</f>
        <v>Chronic_pt.</v>
      </c>
      <c r="K84" s="1">
        <v>9118</v>
      </c>
      <c r="L84" s="1" t="s">
        <v>24</v>
      </c>
      <c r="M84" s="1" t="s">
        <v>38</v>
      </c>
    </row>
    <row r="85" spans="1:13" x14ac:dyDescent="0.3">
      <c r="A85" s="1" t="s">
        <v>155</v>
      </c>
      <c r="B85" s="1">
        <v>48</v>
      </c>
      <c r="C85" s="1" t="str">
        <f>IF(Table1[[#This Row],[Age]]&gt;60,"Elder",IF(Table1[[#This Row],[Age]]&gt;25,"Adult","Children"))</f>
        <v>Adult</v>
      </c>
      <c r="D85" s="1" t="s">
        <v>34</v>
      </c>
      <c r="E85" s="1" t="s">
        <v>51</v>
      </c>
      <c r="F85" s="1" t="s">
        <v>35</v>
      </c>
      <c r="G85" s="1" t="s">
        <v>29</v>
      </c>
      <c r="H85" s="1" t="s">
        <v>80</v>
      </c>
      <c r="I85" s="1">
        <v>5</v>
      </c>
      <c r="J85" s="1" t="str">
        <f>IF(Table1[[#This Row],[Stay_Days]]&lt;3,"Acute_pt.",IF(Table1[[#This Row],[Stay_Days]]&gt;6,"Intermediate_pt.","Chronic_pt."))</f>
        <v>Chronic_pt.</v>
      </c>
      <c r="K85" s="1">
        <v>53685</v>
      </c>
      <c r="L85" s="1" t="s">
        <v>17</v>
      </c>
      <c r="M85" s="1" t="s">
        <v>55</v>
      </c>
    </row>
    <row r="86" spans="1:13" x14ac:dyDescent="0.3">
      <c r="A86" s="1" t="s">
        <v>156</v>
      </c>
      <c r="B86" s="1">
        <v>38</v>
      </c>
      <c r="C86" s="1" t="str">
        <f>IF(Table1[[#This Row],[Age]]&gt;60,"Elder",IF(Table1[[#This Row],[Age]]&gt;25,"Adult","Children"))</f>
        <v>Adult</v>
      </c>
      <c r="D86" s="1" t="s">
        <v>34</v>
      </c>
      <c r="E86" s="1" t="s">
        <v>20</v>
      </c>
      <c r="F86" s="1" t="s">
        <v>43</v>
      </c>
      <c r="G86" s="1" t="s">
        <v>72</v>
      </c>
      <c r="H86" s="1" t="s">
        <v>90</v>
      </c>
      <c r="I86" s="1">
        <v>5</v>
      </c>
      <c r="J86" s="1" t="str">
        <f>IF(Table1[[#This Row],[Stay_Days]]&lt;3,"Acute_pt.",IF(Table1[[#This Row],[Stay_Days]]&gt;6,"Intermediate_pt.","Chronic_pt."))</f>
        <v>Chronic_pt.</v>
      </c>
      <c r="K86" s="1">
        <v>94933</v>
      </c>
      <c r="L86" s="1" t="s">
        <v>24</v>
      </c>
      <c r="M86" s="1" t="s">
        <v>25</v>
      </c>
    </row>
    <row r="87" spans="1:13" x14ac:dyDescent="0.3">
      <c r="A87" s="1" t="s">
        <v>157</v>
      </c>
      <c r="B87" s="1">
        <v>54</v>
      </c>
      <c r="C87" s="1" t="str">
        <f>IF(Table1[[#This Row],[Age]]&gt;60,"Elder",IF(Table1[[#This Row],[Age]]&gt;25,"Adult","Children"))</f>
        <v>Adult</v>
      </c>
      <c r="D87" s="1" t="s">
        <v>12</v>
      </c>
      <c r="E87" s="1" t="s">
        <v>13</v>
      </c>
      <c r="F87" s="1" t="s">
        <v>14</v>
      </c>
      <c r="G87" s="1" t="s">
        <v>22</v>
      </c>
      <c r="H87" s="1" t="s">
        <v>74</v>
      </c>
      <c r="I87" s="1">
        <v>4</v>
      </c>
      <c r="J87" s="1" t="str">
        <f>IF(Table1[[#This Row],[Stay_Days]]&lt;3,"Acute_pt.",IF(Table1[[#This Row],[Stay_Days]]&gt;6,"Intermediate_pt.","Chronic_pt."))</f>
        <v>Chronic_pt.</v>
      </c>
      <c r="K87" s="1">
        <v>89875</v>
      </c>
      <c r="L87" s="1" t="s">
        <v>24</v>
      </c>
      <c r="M87" s="1" t="s">
        <v>55</v>
      </c>
    </row>
    <row r="88" spans="1:13" x14ac:dyDescent="0.3">
      <c r="A88" s="1" t="s">
        <v>158</v>
      </c>
      <c r="B88" s="1">
        <v>38</v>
      </c>
      <c r="C88" s="1" t="str">
        <f>IF(Table1[[#This Row],[Age]]&gt;60,"Elder",IF(Table1[[#This Row],[Age]]&gt;25,"Adult","Children"))</f>
        <v>Adult</v>
      </c>
      <c r="D88" s="1" t="s">
        <v>12</v>
      </c>
      <c r="E88" s="1" t="s">
        <v>51</v>
      </c>
      <c r="F88" s="1" t="s">
        <v>43</v>
      </c>
      <c r="G88" s="1" t="s">
        <v>98</v>
      </c>
      <c r="H88" s="1" t="s">
        <v>60</v>
      </c>
      <c r="I88" s="1">
        <v>8</v>
      </c>
      <c r="J88" s="1" t="str">
        <f>IF(Table1[[#This Row],[Stay_Days]]&lt;3,"Acute_pt.",IF(Table1[[#This Row],[Stay_Days]]&gt;6,"Intermediate_pt.","Chronic_pt."))</f>
        <v>Intermediate_pt.</v>
      </c>
      <c r="K88" s="1">
        <v>31375</v>
      </c>
      <c r="L88" s="1" t="s">
        <v>17</v>
      </c>
      <c r="M88" s="1" t="s">
        <v>57</v>
      </c>
    </row>
    <row r="89" spans="1:13" x14ac:dyDescent="0.3">
      <c r="A89" s="1" t="s">
        <v>159</v>
      </c>
      <c r="B89" s="1">
        <v>30</v>
      </c>
      <c r="C89" s="1" t="str">
        <f>IF(Table1[[#This Row],[Age]]&gt;60,"Elder",IF(Table1[[#This Row],[Age]]&gt;25,"Adult","Children"))</f>
        <v>Adult</v>
      </c>
      <c r="D89" s="1" t="s">
        <v>34</v>
      </c>
      <c r="E89" s="1" t="s">
        <v>27</v>
      </c>
      <c r="F89" s="1" t="s">
        <v>31</v>
      </c>
      <c r="G89" s="1" t="s">
        <v>66</v>
      </c>
      <c r="H89" s="1" t="s">
        <v>72</v>
      </c>
      <c r="I89" s="1">
        <v>7</v>
      </c>
      <c r="J89" s="1" t="str">
        <f>IF(Table1[[#This Row],[Stay_Days]]&lt;3,"Acute_pt.",IF(Table1[[#This Row],[Stay_Days]]&gt;6,"Intermediate_pt.","Chronic_pt."))</f>
        <v>Intermediate_pt.</v>
      </c>
      <c r="K89" s="1">
        <v>14882</v>
      </c>
      <c r="L89" s="1" t="s">
        <v>17</v>
      </c>
      <c r="M89" s="1" t="s">
        <v>18</v>
      </c>
    </row>
    <row r="90" spans="1:13" x14ac:dyDescent="0.3">
      <c r="A90" s="1" t="s">
        <v>160</v>
      </c>
      <c r="B90" s="1">
        <v>49</v>
      </c>
      <c r="C90" s="1" t="str">
        <f>IF(Table1[[#This Row],[Age]]&gt;60,"Elder",IF(Table1[[#This Row],[Age]]&gt;25,"Adult","Children"))</f>
        <v>Adult</v>
      </c>
      <c r="D90" s="1" t="s">
        <v>34</v>
      </c>
      <c r="E90" s="1" t="s">
        <v>46</v>
      </c>
      <c r="F90" s="1" t="s">
        <v>40</v>
      </c>
      <c r="G90" s="1" t="s">
        <v>32</v>
      </c>
      <c r="H90" s="1" t="s">
        <v>36</v>
      </c>
      <c r="I90" s="1">
        <v>8</v>
      </c>
      <c r="J90" s="1" t="str">
        <f>IF(Table1[[#This Row],[Stay_Days]]&lt;3,"Acute_pt.",IF(Table1[[#This Row],[Stay_Days]]&gt;6,"Intermediate_pt.","Chronic_pt."))</f>
        <v>Intermediate_pt.</v>
      </c>
      <c r="K90" s="1">
        <v>82375</v>
      </c>
      <c r="L90" s="1" t="s">
        <v>17</v>
      </c>
      <c r="M90" s="1" t="s">
        <v>18</v>
      </c>
    </row>
    <row r="91" spans="1:13" x14ac:dyDescent="0.3">
      <c r="A91" s="1" t="s">
        <v>161</v>
      </c>
      <c r="B91" s="1">
        <v>42</v>
      </c>
      <c r="C91" s="1" t="str">
        <f>IF(Table1[[#This Row],[Age]]&gt;60,"Elder",IF(Table1[[#This Row],[Age]]&gt;25,"Adult","Children"))</f>
        <v>Adult</v>
      </c>
      <c r="D91" s="1" t="s">
        <v>12</v>
      </c>
      <c r="E91" s="1" t="s">
        <v>46</v>
      </c>
      <c r="F91" s="1" t="s">
        <v>21</v>
      </c>
      <c r="G91" s="1" t="s">
        <v>90</v>
      </c>
      <c r="H91" s="1" t="s">
        <v>115</v>
      </c>
      <c r="I91" s="1">
        <v>2</v>
      </c>
      <c r="J91" s="1" t="str">
        <f>IF(Table1[[#This Row],[Stay_Days]]&lt;3,"Acute_pt.",IF(Table1[[#This Row],[Stay_Days]]&gt;6,"Intermediate_pt.","Chronic_pt."))</f>
        <v>Acute_pt.</v>
      </c>
      <c r="K91" s="1">
        <v>97743</v>
      </c>
      <c r="L91" s="1" t="s">
        <v>24</v>
      </c>
      <c r="M91" s="1" t="s">
        <v>38</v>
      </c>
    </row>
    <row r="92" spans="1:13" x14ac:dyDescent="0.3">
      <c r="A92" s="1" t="s">
        <v>162</v>
      </c>
      <c r="B92" s="1">
        <v>46</v>
      </c>
      <c r="C92" s="1" t="str">
        <f>IF(Table1[[#This Row],[Age]]&gt;60,"Elder",IF(Table1[[#This Row],[Age]]&gt;25,"Adult","Children"))</f>
        <v>Adult</v>
      </c>
      <c r="D92" s="1" t="s">
        <v>34</v>
      </c>
      <c r="E92" s="1" t="s">
        <v>46</v>
      </c>
      <c r="F92" s="1" t="s">
        <v>102</v>
      </c>
      <c r="G92" s="1" t="s">
        <v>68</v>
      </c>
      <c r="H92" s="1" t="s">
        <v>90</v>
      </c>
      <c r="I92" s="1">
        <v>4</v>
      </c>
      <c r="J92" s="1" t="str">
        <f>IF(Table1[[#This Row],[Stay_Days]]&lt;3,"Acute_pt.",IF(Table1[[#This Row],[Stay_Days]]&gt;6,"Intermediate_pt.","Chronic_pt."))</f>
        <v>Chronic_pt.</v>
      </c>
      <c r="K92" s="1">
        <v>58548</v>
      </c>
      <c r="L92" s="1" t="s">
        <v>17</v>
      </c>
      <c r="M92" s="1" t="s">
        <v>25</v>
      </c>
    </row>
    <row r="93" spans="1:13" x14ac:dyDescent="0.3">
      <c r="A93" s="1" t="s">
        <v>163</v>
      </c>
      <c r="B93" s="1">
        <v>20</v>
      </c>
      <c r="C93" s="1" t="str">
        <f>IF(Table1[[#This Row],[Age]]&gt;60,"Elder",IF(Table1[[#This Row],[Age]]&gt;25,"Adult","Children"))</f>
        <v>Children</v>
      </c>
      <c r="D93" s="1" t="s">
        <v>12</v>
      </c>
      <c r="E93" s="1" t="s">
        <v>27</v>
      </c>
      <c r="F93" s="1" t="s">
        <v>21</v>
      </c>
      <c r="G93" s="1" t="s">
        <v>36</v>
      </c>
      <c r="H93" s="1" t="s">
        <v>53</v>
      </c>
      <c r="I93" s="1">
        <v>2</v>
      </c>
      <c r="J93" s="1" t="str">
        <f>IF(Table1[[#This Row],[Stay_Days]]&lt;3,"Acute_pt.",IF(Table1[[#This Row],[Stay_Days]]&gt;6,"Intermediate_pt.","Chronic_pt."))</f>
        <v>Acute_pt.</v>
      </c>
      <c r="K93" s="1">
        <v>22320</v>
      </c>
      <c r="L93" s="1" t="s">
        <v>17</v>
      </c>
      <c r="M93" s="1" t="s">
        <v>38</v>
      </c>
    </row>
    <row r="94" spans="1:13" x14ac:dyDescent="0.3">
      <c r="A94" s="1" t="s">
        <v>164</v>
      </c>
      <c r="B94" s="1">
        <v>42</v>
      </c>
      <c r="C94" s="1" t="str">
        <f>IF(Table1[[#This Row],[Age]]&gt;60,"Elder",IF(Table1[[#This Row],[Age]]&gt;25,"Adult","Children"))</f>
        <v>Adult</v>
      </c>
      <c r="D94" s="1" t="s">
        <v>34</v>
      </c>
      <c r="E94" s="1" t="s">
        <v>20</v>
      </c>
      <c r="F94" s="1" t="s">
        <v>14</v>
      </c>
      <c r="G94" s="1" t="s">
        <v>41</v>
      </c>
      <c r="H94" s="1" t="s">
        <v>68</v>
      </c>
      <c r="I94" s="1">
        <v>7</v>
      </c>
      <c r="J94" s="1" t="str">
        <f>IF(Table1[[#This Row],[Stay_Days]]&lt;3,"Acute_pt.",IF(Table1[[#This Row],[Stay_Days]]&gt;6,"Intermediate_pt.","Chronic_pt."))</f>
        <v>Intermediate_pt.</v>
      </c>
      <c r="K94" s="1">
        <v>68600</v>
      </c>
      <c r="L94" s="1" t="s">
        <v>24</v>
      </c>
      <c r="M94" s="1" t="s">
        <v>18</v>
      </c>
    </row>
    <row r="95" spans="1:13" x14ac:dyDescent="0.3">
      <c r="A95" s="1" t="s">
        <v>165</v>
      </c>
      <c r="B95" s="1">
        <v>21</v>
      </c>
      <c r="C95" s="1" t="str">
        <f>IF(Table1[[#This Row],[Age]]&gt;60,"Elder",IF(Table1[[#This Row],[Age]]&gt;25,"Adult","Children"))</f>
        <v>Children</v>
      </c>
      <c r="D95" s="1" t="s">
        <v>34</v>
      </c>
      <c r="E95" s="1" t="s">
        <v>20</v>
      </c>
      <c r="F95" s="1" t="s">
        <v>43</v>
      </c>
      <c r="G95" s="1" t="s">
        <v>32</v>
      </c>
      <c r="H95" s="1" t="s">
        <v>80</v>
      </c>
      <c r="I95" s="1">
        <v>7</v>
      </c>
      <c r="J95" s="1" t="str">
        <f>IF(Table1[[#This Row],[Stay_Days]]&lt;3,"Acute_pt.",IF(Table1[[#This Row],[Stay_Days]]&gt;6,"Intermediate_pt.","Chronic_pt."))</f>
        <v>Intermediate_pt.</v>
      </c>
      <c r="K95" s="1">
        <v>95857</v>
      </c>
      <c r="L95" s="1" t="s">
        <v>17</v>
      </c>
      <c r="M95" s="1" t="s">
        <v>18</v>
      </c>
    </row>
    <row r="96" spans="1:13" x14ac:dyDescent="0.3">
      <c r="A96" s="1" t="s">
        <v>166</v>
      </c>
      <c r="B96" s="1">
        <v>23</v>
      </c>
      <c r="C96" s="1" t="str">
        <f>IF(Table1[[#This Row],[Age]]&gt;60,"Elder",IF(Table1[[#This Row],[Age]]&gt;25,"Adult","Children"))</f>
        <v>Children</v>
      </c>
      <c r="D96" s="1" t="s">
        <v>12</v>
      </c>
      <c r="E96" s="1" t="s">
        <v>27</v>
      </c>
      <c r="F96" s="1" t="s">
        <v>59</v>
      </c>
      <c r="G96" s="1" t="s">
        <v>29</v>
      </c>
      <c r="H96" s="1" t="s">
        <v>36</v>
      </c>
      <c r="I96" s="1">
        <v>6</v>
      </c>
      <c r="J96" s="1" t="str">
        <f>IF(Table1[[#This Row],[Stay_Days]]&lt;3,"Acute_pt.",IF(Table1[[#This Row],[Stay_Days]]&gt;6,"Intermediate_pt.","Chronic_pt."))</f>
        <v>Chronic_pt.</v>
      </c>
      <c r="K96" s="1">
        <v>76775</v>
      </c>
      <c r="L96" s="1" t="s">
        <v>17</v>
      </c>
      <c r="M96" s="1" t="s">
        <v>25</v>
      </c>
    </row>
    <row r="97" spans="1:13" x14ac:dyDescent="0.3">
      <c r="A97" s="1" t="s">
        <v>167</v>
      </c>
      <c r="B97" s="1">
        <v>50</v>
      </c>
      <c r="C97" s="1" t="str">
        <f>IF(Table1[[#This Row],[Age]]&gt;60,"Elder",IF(Table1[[#This Row],[Age]]&gt;25,"Adult","Children"))</f>
        <v>Adult</v>
      </c>
      <c r="D97" s="1" t="s">
        <v>34</v>
      </c>
      <c r="E97" s="1" t="s">
        <v>13</v>
      </c>
      <c r="F97" s="1" t="s">
        <v>40</v>
      </c>
      <c r="G97" s="1" t="s">
        <v>66</v>
      </c>
      <c r="H97" s="1" t="s">
        <v>49</v>
      </c>
      <c r="I97" s="1">
        <v>2</v>
      </c>
      <c r="J97" s="1" t="str">
        <f>IF(Table1[[#This Row],[Stay_Days]]&lt;3,"Acute_pt.",IF(Table1[[#This Row],[Stay_Days]]&gt;6,"Intermediate_pt.","Chronic_pt."))</f>
        <v>Acute_pt.</v>
      </c>
      <c r="K97" s="1">
        <v>83730</v>
      </c>
      <c r="L97" s="1" t="s">
        <v>24</v>
      </c>
      <c r="M97" s="1" t="s">
        <v>57</v>
      </c>
    </row>
    <row r="98" spans="1:13" x14ac:dyDescent="0.3">
      <c r="A98" s="1" t="s">
        <v>168</v>
      </c>
      <c r="B98" s="1">
        <v>30</v>
      </c>
      <c r="C98" s="1" t="str">
        <f>IF(Table1[[#This Row],[Age]]&gt;60,"Elder",IF(Table1[[#This Row],[Age]]&gt;25,"Adult","Children"))</f>
        <v>Adult</v>
      </c>
      <c r="D98" s="1" t="s">
        <v>12</v>
      </c>
      <c r="E98" s="1" t="s">
        <v>51</v>
      </c>
      <c r="F98" s="1" t="s">
        <v>59</v>
      </c>
      <c r="G98" s="1" t="s">
        <v>77</v>
      </c>
      <c r="H98" s="1" t="s">
        <v>41</v>
      </c>
      <c r="I98" s="1">
        <v>6</v>
      </c>
      <c r="J98" s="1" t="str">
        <f>IF(Table1[[#This Row],[Stay_Days]]&lt;3,"Acute_pt.",IF(Table1[[#This Row],[Stay_Days]]&gt;6,"Intermediate_pt.","Chronic_pt."))</f>
        <v>Chronic_pt.</v>
      </c>
      <c r="K98" s="1">
        <v>87530</v>
      </c>
      <c r="L98" s="1" t="s">
        <v>17</v>
      </c>
      <c r="M98" s="1" t="s">
        <v>55</v>
      </c>
    </row>
    <row r="99" spans="1:13" x14ac:dyDescent="0.3">
      <c r="A99" s="1" t="s">
        <v>169</v>
      </c>
      <c r="B99" s="1">
        <v>61</v>
      </c>
      <c r="C99" s="1" t="str">
        <f>IF(Table1[[#This Row],[Age]]&gt;60,"Elder",IF(Table1[[#This Row],[Age]]&gt;25,"Adult","Children"))</f>
        <v>Elder</v>
      </c>
      <c r="D99" s="1" t="s">
        <v>34</v>
      </c>
      <c r="E99" s="1" t="s">
        <v>20</v>
      </c>
      <c r="F99" s="1" t="s">
        <v>21</v>
      </c>
      <c r="G99" s="1" t="s">
        <v>49</v>
      </c>
      <c r="H99" s="1" t="s">
        <v>68</v>
      </c>
      <c r="I99" s="1">
        <v>6</v>
      </c>
      <c r="J99" s="1" t="str">
        <f>IF(Table1[[#This Row],[Stay_Days]]&lt;3,"Acute_pt.",IF(Table1[[#This Row],[Stay_Days]]&gt;6,"Intermediate_pt.","Chronic_pt."))</f>
        <v>Chronic_pt.</v>
      </c>
      <c r="K99" s="1">
        <v>47957</v>
      </c>
      <c r="L99" s="1" t="s">
        <v>17</v>
      </c>
      <c r="M99" s="1" t="s">
        <v>18</v>
      </c>
    </row>
    <row r="100" spans="1:13" x14ac:dyDescent="0.3">
      <c r="A100" s="1" t="s">
        <v>170</v>
      </c>
      <c r="B100" s="1">
        <v>67</v>
      </c>
      <c r="C100" s="1" t="str">
        <f>IF(Table1[[#This Row],[Age]]&gt;60,"Elder",IF(Table1[[#This Row],[Age]]&gt;25,"Adult","Children"))</f>
        <v>Elder</v>
      </c>
      <c r="D100" s="1" t="s">
        <v>12</v>
      </c>
      <c r="E100" s="1" t="s">
        <v>27</v>
      </c>
      <c r="F100" s="1" t="s">
        <v>40</v>
      </c>
      <c r="G100" s="1" t="s">
        <v>23</v>
      </c>
      <c r="H100" s="1" t="s">
        <v>44</v>
      </c>
      <c r="I100" s="1">
        <v>8</v>
      </c>
      <c r="J100" s="1" t="str">
        <f>IF(Table1[[#This Row],[Stay_Days]]&lt;3,"Acute_pt.",IF(Table1[[#This Row],[Stay_Days]]&gt;6,"Intermediate_pt.","Chronic_pt."))</f>
        <v>Intermediate_pt.</v>
      </c>
      <c r="K100" s="1">
        <v>12116</v>
      </c>
      <c r="L100" s="1" t="s">
        <v>24</v>
      </c>
      <c r="M100" s="1" t="s">
        <v>57</v>
      </c>
    </row>
    <row r="101" spans="1:13" x14ac:dyDescent="0.3">
      <c r="A101" s="1" t="s">
        <v>171</v>
      </c>
      <c r="B101" s="1">
        <v>25</v>
      </c>
      <c r="C101" s="1" t="str">
        <f>IF(Table1[[#This Row],[Age]]&gt;60,"Elder",IF(Table1[[#This Row],[Age]]&gt;25,"Adult","Children"))</f>
        <v>Children</v>
      </c>
      <c r="D101" s="1" t="s">
        <v>34</v>
      </c>
      <c r="E101" s="1" t="s">
        <v>27</v>
      </c>
      <c r="F101" s="1" t="s">
        <v>43</v>
      </c>
      <c r="G101" s="1" t="s">
        <v>36</v>
      </c>
      <c r="H101" s="1" t="s">
        <v>53</v>
      </c>
      <c r="I101" s="1">
        <v>2</v>
      </c>
      <c r="J101" s="1" t="str">
        <f>IF(Table1[[#This Row],[Stay_Days]]&lt;3,"Acute_pt.",IF(Table1[[#This Row],[Stay_Days]]&gt;6,"Intermediate_pt.","Chronic_pt."))</f>
        <v>Acute_pt.</v>
      </c>
      <c r="K101" s="1">
        <v>75214</v>
      </c>
      <c r="L101" s="1" t="s">
        <v>24</v>
      </c>
      <c r="M101" s="1" t="s">
        <v>18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EA04B-0825-4EFB-A191-A82A6B8F22D6}">
  <dimension ref="A1:P17"/>
  <sheetViews>
    <sheetView showGridLines="0" tabSelected="1" zoomScale="170" zoomScaleNormal="170" workbookViewId="0">
      <selection sqref="A1:P2"/>
    </sheetView>
  </sheetViews>
  <sheetFormatPr defaultRowHeight="14.4" x14ac:dyDescent="0.3"/>
  <sheetData>
    <row r="1" spans="1:16" x14ac:dyDescent="0.3">
      <c r="A1" s="18" t="s">
        <v>200</v>
      </c>
      <c r="B1" s="19"/>
      <c r="C1" s="19"/>
      <c r="D1" s="19"/>
      <c r="E1" s="19"/>
      <c r="F1" s="19"/>
      <c r="G1" s="19"/>
      <c r="H1" s="19"/>
      <c r="I1" s="19"/>
      <c r="J1" s="19"/>
      <c r="K1" s="19"/>
      <c r="L1" s="19"/>
      <c r="M1" s="19"/>
      <c r="N1" s="19"/>
      <c r="O1" s="19"/>
      <c r="P1" s="19"/>
    </row>
    <row r="2" spans="1:16" x14ac:dyDescent="0.3">
      <c r="A2" s="19"/>
      <c r="B2" s="19"/>
      <c r="C2" s="19"/>
      <c r="D2" s="19"/>
      <c r="E2" s="19"/>
      <c r="F2" s="19"/>
      <c r="G2" s="19"/>
      <c r="H2" s="19"/>
      <c r="I2" s="19"/>
      <c r="J2" s="19"/>
      <c r="K2" s="19"/>
      <c r="L2" s="19"/>
      <c r="M2" s="19"/>
      <c r="N2" s="19"/>
      <c r="O2" s="19"/>
      <c r="P2" s="19"/>
    </row>
    <row r="3" spans="1:16" x14ac:dyDescent="0.3">
      <c r="A3" s="9"/>
      <c r="B3" s="9"/>
      <c r="C3" s="9"/>
      <c r="D3" s="9"/>
      <c r="E3" s="9"/>
      <c r="F3" s="9"/>
      <c r="G3" s="9"/>
      <c r="H3" s="9"/>
      <c r="I3" s="9"/>
      <c r="J3" s="9"/>
      <c r="K3" s="9"/>
      <c r="L3" s="9"/>
      <c r="M3" s="9"/>
      <c r="N3" s="9"/>
      <c r="O3" s="9"/>
      <c r="P3" s="9"/>
    </row>
    <row r="4" spans="1:16" ht="15.6" x14ac:dyDescent="0.3">
      <c r="A4" s="15" t="s">
        <v>201</v>
      </c>
      <c r="B4" s="10"/>
      <c r="C4" s="10"/>
      <c r="D4" s="10"/>
      <c r="E4" s="10"/>
      <c r="F4" s="10"/>
      <c r="G4" s="10"/>
      <c r="H4" s="10"/>
      <c r="I4" s="10"/>
      <c r="J4" s="10"/>
      <c r="K4" s="9"/>
      <c r="L4" s="9"/>
      <c r="M4" s="9"/>
      <c r="N4" s="9"/>
      <c r="O4" s="9"/>
      <c r="P4" s="9"/>
    </row>
    <row r="5" spans="1:16" ht="15.6" x14ac:dyDescent="0.3">
      <c r="A5" s="15" t="s">
        <v>202</v>
      </c>
      <c r="B5" s="9"/>
      <c r="C5" s="9"/>
      <c r="D5" s="9"/>
      <c r="E5" s="9"/>
      <c r="F5" s="9"/>
      <c r="G5" s="9"/>
      <c r="H5" s="9"/>
      <c r="I5" s="9"/>
      <c r="J5" s="9"/>
      <c r="K5" s="9"/>
      <c r="L5" s="9"/>
      <c r="M5" s="9"/>
      <c r="N5" s="9"/>
      <c r="O5" s="9"/>
      <c r="P5" s="9"/>
    </row>
    <row r="6" spans="1:16" ht="15.6" x14ac:dyDescent="0.3">
      <c r="A6" s="15" t="s">
        <v>203</v>
      </c>
      <c r="B6" s="9"/>
      <c r="C6" s="9"/>
      <c r="D6" s="9"/>
      <c r="E6" s="9"/>
      <c r="F6" s="9"/>
      <c r="G6" s="9"/>
      <c r="H6" s="9"/>
      <c r="I6" s="9"/>
      <c r="J6" s="9"/>
      <c r="K6" s="9"/>
      <c r="L6" s="9"/>
      <c r="M6" s="9"/>
      <c r="N6" s="9"/>
      <c r="O6" s="9"/>
      <c r="P6" s="9"/>
    </row>
    <row r="7" spans="1:16" x14ac:dyDescent="0.3">
      <c r="A7" s="9"/>
      <c r="B7" s="9"/>
      <c r="C7" s="9"/>
      <c r="D7" s="9"/>
      <c r="E7" s="9"/>
      <c r="F7" s="9"/>
      <c r="G7" s="9"/>
      <c r="H7" s="9"/>
      <c r="I7" s="9"/>
      <c r="J7" s="9"/>
      <c r="K7" s="9"/>
      <c r="L7" s="9"/>
      <c r="M7" s="9"/>
      <c r="N7" s="9"/>
      <c r="O7" s="9"/>
      <c r="P7" s="9"/>
    </row>
    <row r="8" spans="1:16" x14ac:dyDescent="0.3">
      <c r="A8" s="9"/>
      <c r="B8" s="9"/>
      <c r="C8" s="9"/>
      <c r="D8" s="9"/>
      <c r="E8" s="9"/>
      <c r="F8" s="9"/>
      <c r="G8" s="9"/>
      <c r="H8" s="9"/>
      <c r="I8" s="9"/>
      <c r="J8" s="9"/>
      <c r="K8" s="9"/>
      <c r="L8" s="9"/>
      <c r="M8" s="9"/>
      <c r="N8" s="9"/>
      <c r="O8" s="9"/>
      <c r="P8" s="9"/>
    </row>
    <row r="9" spans="1:16" x14ac:dyDescent="0.3">
      <c r="A9" s="9"/>
      <c r="B9" s="9"/>
      <c r="C9" s="9"/>
      <c r="D9" s="9"/>
      <c r="E9" s="9"/>
      <c r="F9" s="9"/>
      <c r="G9" s="9"/>
      <c r="H9" s="9"/>
      <c r="I9" s="9"/>
      <c r="J9" s="9"/>
      <c r="K9" s="9"/>
      <c r="L9" s="9"/>
      <c r="M9" s="9"/>
      <c r="N9" s="9"/>
      <c r="O9" s="9"/>
      <c r="P9" s="9"/>
    </row>
    <row r="10" spans="1:16" x14ac:dyDescent="0.3">
      <c r="A10" s="9"/>
      <c r="B10" s="9"/>
      <c r="C10" s="9"/>
      <c r="D10" s="9"/>
      <c r="E10" s="9"/>
      <c r="F10" s="9"/>
      <c r="G10" s="9"/>
      <c r="H10" s="9"/>
      <c r="I10" s="9"/>
      <c r="J10" s="9"/>
      <c r="K10" s="9"/>
      <c r="L10" s="9"/>
      <c r="M10" s="9"/>
      <c r="N10" s="9"/>
      <c r="O10" s="9"/>
      <c r="P10" s="9"/>
    </row>
    <row r="11" spans="1:16" x14ac:dyDescent="0.3">
      <c r="A11" s="9"/>
      <c r="B11" s="9"/>
      <c r="C11" s="9"/>
      <c r="D11" s="9"/>
      <c r="E11" s="9"/>
      <c r="F11" s="9"/>
      <c r="G11" s="9"/>
      <c r="H11" s="9"/>
      <c r="I11" s="9"/>
      <c r="J11" s="9"/>
      <c r="K11" s="9"/>
      <c r="L11" s="9"/>
      <c r="M11" s="9"/>
      <c r="N11" s="9"/>
      <c r="O11" s="9"/>
      <c r="P11" s="9"/>
    </row>
    <row r="12" spans="1:16" x14ac:dyDescent="0.3">
      <c r="A12" s="9"/>
      <c r="B12" s="9"/>
      <c r="C12" s="9"/>
      <c r="D12" s="9"/>
      <c r="E12" s="9"/>
      <c r="F12" s="9"/>
      <c r="G12" s="9"/>
      <c r="H12" s="9"/>
      <c r="I12" s="9"/>
      <c r="J12" s="9"/>
      <c r="K12" s="9"/>
      <c r="L12" s="9"/>
      <c r="M12" s="9"/>
      <c r="N12" s="9"/>
      <c r="O12" s="9"/>
      <c r="P12" s="9"/>
    </row>
    <row r="13" spans="1:16" x14ac:dyDescent="0.3">
      <c r="A13" s="9"/>
      <c r="B13" s="9"/>
      <c r="C13" s="9"/>
      <c r="D13" s="9"/>
      <c r="E13" s="9"/>
      <c r="F13" s="9"/>
      <c r="G13" s="9"/>
      <c r="H13" s="9"/>
      <c r="I13" s="9"/>
      <c r="J13" s="9"/>
      <c r="K13" s="9"/>
      <c r="L13" s="9"/>
      <c r="M13" s="9"/>
      <c r="N13" s="9"/>
      <c r="O13" s="9"/>
      <c r="P13" s="9"/>
    </row>
    <row r="14" spans="1:16" x14ac:dyDescent="0.3">
      <c r="A14" s="9"/>
      <c r="B14" s="9"/>
      <c r="C14" s="9"/>
      <c r="D14" s="9"/>
      <c r="E14" s="9"/>
      <c r="F14" s="9"/>
      <c r="G14" s="9"/>
      <c r="H14" s="9"/>
      <c r="I14" s="9"/>
      <c r="J14" s="9"/>
      <c r="K14" s="9"/>
      <c r="L14" s="9"/>
      <c r="M14" s="9"/>
      <c r="N14" s="9"/>
      <c r="O14" s="9"/>
      <c r="P14" s="9"/>
    </row>
    <row r="15" spans="1:16" x14ac:dyDescent="0.3">
      <c r="A15" s="9"/>
      <c r="B15" s="9"/>
      <c r="C15" s="9"/>
      <c r="D15" s="9"/>
      <c r="E15" s="9"/>
      <c r="F15" s="9"/>
      <c r="G15" s="9"/>
      <c r="H15" s="9"/>
      <c r="I15" s="9"/>
      <c r="J15" s="9"/>
      <c r="K15" s="9"/>
      <c r="L15" s="9"/>
      <c r="M15" s="9"/>
      <c r="N15" s="9"/>
      <c r="O15" s="9"/>
      <c r="P15" s="9"/>
    </row>
    <row r="16" spans="1:16" x14ac:dyDescent="0.3">
      <c r="A16" s="9"/>
      <c r="B16" s="9"/>
      <c r="C16" s="9"/>
      <c r="D16" s="9"/>
      <c r="E16" s="9"/>
      <c r="F16" s="9"/>
      <c r="G16" s="9"/>
      <c r="H16" s="9"/>
      <c r="I16" s="9"/>
      <c r="J16" s="9"/>
      <c r="K16" s="9"/>
      <c r="L16" s="9"/>
      <c r="M16" s="9"/>
      <c r="N16" s="9"/>
      <c r="O16" s="9"/>
      <c r="P16" s="9"/>
    </row>
    <row r="17" spans="1:16" x14ac:dyDescent="0.3">
      <c r="A17" s="9"/>
      <c r="B17" s="9"/>
      <c r="C17" s="9"/>
      <c r="D17" s="9"/>
      <c r="E17" s="9"/>
      <c r="F17" s="9"/>
      <c r="H17" s="9"/>
      <c r="I17" s="9"/>
      <c r="J17" s="9"/>
      <c r="K17" s="9"/>
      <c r="L17" s="9"/>
      <c r="M17" s="9"/>
      <c r="N17" s="9"/>
      <c r="O17" s="9"/>
      <c r="P17" s="9"/>
    </row>
  </sheetData>
  <mergeCells count="1">
    <mergeCell ref="A1:P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2C319-40AC-400A-8F9A-561180A4C603}">
  <dimension ref="A1:AH42"/>
  <sheetViews>
    <sheetView showGridLines="0" zoomScale="70" zoomScaleNormal="70" workbookViewId="0">
      <selection activeCell="R2" sqref="R2"/>
    </sheetView>
  </sheetViews>
  <sheetFormatPr defaultRowHeight="14.4" x14ac:dyDescent="0.3"/>
  <sheetData>
    <row r="1" spans="1:34" ht="25.8" x14ac:dyDescent="0.5">
      <c r="A1" s="21" t="s">
        <v>177</v>
      </c>
      <c r="B1" s="22"/>
      <c r="C1" s="22"/>
      <c r="D1" s="22"/>
      <c r="E1" s="22"/>
      <c r="F1" s="22"/>
      <c r="G1" s="22"/>
      <c r="H1" s="22"/>
      <c r="I1" s="22"/>
      <c r="J1" s="22"/>
      <c r="K1" s="22"/>
      <c r="L1" s="22"/>
      <c r="M1" s="22"/>
      <c r="N1" s="22"/>
      <c r="O1" s="22"/>
      <c r="P1" s="22"/>
      <c r="Q1" s="22"/>
      <c r="R1" s="16"/>
      <c r="S1" s="17"/>
      <c r="T1" s="17"/>
      <c r="U1" s="17"/>
      <c r="V1" s="17"/>
      <c r="W1" s="17"/>
      <c r="X1" s="17"/>
      <c r="Y1" s="17"/>
      <c r="Z1" s="17"/>
      <c r="AA1" s="17"/>
      <c r="AB1" s="17"/>
      <c r="AC1" s="17"/>
      <c r="AD1" s="17"/>
      <c r="AE1" s="17"/>
      <c r="AF1" s="17"/>
      <c r="AG1" s="17"/>
      <c r="AH1" s="17"/>
    </row>
    <row r="2" spans="1:3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row>
    <row r="3" spans="1:3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row>
    <row r="4" spans="1:3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row>
    <row r="5" spans="1:3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row>
    <row r="6" spans="1:3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row>
    <row r="7" spans="1:3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row>
    <row r="8" spans="1:3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row>
    <row r="9" spans="1:3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row>
    <row r="10" spans="1:3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row>
    <row r="11" spans="1:3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row>
    <row r="16" spans="1:3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sheetData>
  <mergeCells count="2">
    <mergeCell ref="A1:Q1"/>
    <mergeCell ref="R1:AH1"/>
  </mergeCells>
  <phoneticPr fontId="4"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9B810-207F-46FE-9244-668B5D6AA1D6}">
  <dimension ref="A1:R17"/>
  <sheetViews>
    <sheetView showGridLines="0" workbookViewId="0">
      <selection activeCell="L3" sqref="L3"/>
    </sheetView>
  </sheetViews>
  <sheetFormatPr defaultRowHeight="14.4" x14ac:dyDescent="0.3"/>
  <sheetData>
    <row r="1" spans="1:18" ht="21" x14ac:dyDescent="0.4">
      <c r="A1" s="20" t="s">
        <v>187</v>
      </c>
      <c r="B1" s="20"/>
      <c r="C1" s="20"/>
      <c r="D1" s="20"/>
      <c r="E1" s="20"/>
      <c r="F1" s="20"/>
      <c r="G1" s="20"/>
      <c r="H1" s="20"/>
      <c r="I1" s="20"/>
      <c r="J1" s="20"/>
      <c r="K1" s="20"/>
      <c r="L1" s="20"/>
      <c r="M1" s="20"/>
      <c r="N1" s="20"/>
      <c r="O1" s="20"/>
      <c r="P1" s="20"/>
      <c r="Q1" s="20"/>
      <c r="R1" s="20"/>
    </row>
    <row r="3" spans="1:18" ht="15.6" x14ac:dyDescent="0.3">
      <c r="A3" s="13" t="s">
        <v>188</v>
      </c>
      <c r="B3" s="3"/>
      <c r="C3" s="3"/>
      <c r="D3" s="3"/>
      <c r="E3" s="3"/>
      <c r="F3" s="3"/>
      <c r="G3" s="3"/>
    </row>
    <row r="4" spans="1:18" x14ac:dyDescent="0.3">
      <c r="A4" s="14" t="s">
        <v>189</v>
      </c>
      <c r="B4" s="3"/>
      <c r="C4" s="3"/>
      <c r="D4" s="3"/>
      <c r="E4" s="3"/>
      <c r="F4" s="3"/>
      <c r="G4" s="3"/>
    </row>
    <row r="5" spans="1:18" x14ac:dyDescent="0.3">
      <c r="A5" s="14" t="s">
        <v>190</v>
      </c>
      <c r="B5" s="3"/>
      <c r="C5" s="3"/>
      <c r="D5" s="3"/>
      <c r="E5" s="3"/>
      <c r="F5" s="3"/>
      <c r="G5" s="3"/>
    </row>
    <row r="6" spans="1:18" x14ac:dyDescent="0.3">
      <c r="A6" s="14" t="s">
        <v>191</v>
      </c>
      <c r="B6" s="3"/>
      <c r="C6" s="3"/>
      <c r="D6" s="3"/>
      <c r="E6" s="3"/>
      <c r="F6" s="3"/>
      <c r="G6" s="3"/>
    </row>
    <row r="7" spans="1:18" x14ac:dyDescent="0.3">
      <c r="A7" s="14" t="s">
        <v>192</v>
      </c>
      <c r="B7" s="3"/>
      <c r="C7" s="3"/>
      <c r="D7" s="3"/>
      <c r="E7" s="3"/>
      <c r="F7" s="3"/>
      <c r="G7" s="3"/>
    </row>
    <row r="8" spans="1:18" x14ac:dyDescent="0.3">
      <c r="A8" s="14" t="s">
        <v>193</v>
      </c>
      <c r="B8" s="3"/>
      <c r="C8" s="3"/>
      <c r="D8" s="3"/>
      <c r="E8" s="3"/>
      <c r="F8" s="3"/>
      <c r="G8" s="3"/>
    </row>
    <row r="9" spans="1:18" x14ac:dyDescent="0.3">
      <c r="A9" s="14" t="s">
        <v>194</v>
      </c>
      <c r="B9" s="3"/>
      <c r="C9" s="3"/>
      <c r="D9" s="3"/>
      <c r="E9" s="3"/>
      <c r="F9" s="3"/>
      <c r="G9" s="3"/>
    </row>
    <row r="10" spans="1:18" x14ac:dyDescent="0.3">
      <c r="A10" s="14" t="s">
        <v>195</v>
      </c>
      <c r="B10" s="3"/>
      <c r="C10" s="3"/>
      <c r="D10" s="3"/>
      <c r="E10" s="3"/>
      <c r="F10" s="3"/>
      <c r="G10" s="3"/>
    </row>
    <row r="11" spans="1:18" x14ac:dyDescent="0.3">
      <c r="A11" s="14" t="s">
        <v>196</v>
      </c>
      <c r="B11" s="3"/>
      <c r="C11" s="3"/>
      <c r="D11" s="3"/>
      <c r="E11" s="3"/>
      <c r="F11" s="3"/>
      <c r="G11" s="3"/>
    </row>
    <row r="12" spans="1:18" x14ac:dyDescent="0.3">
      <c r="A12" s="3"/>
      <c r="B12" s="3"/>
      <c r="C12" s="3"/>
      <c r="D12" s="3"/>
      <c r="E12" s="3"/>
      <c r="F12" s="3"/>
      <c r="G12" s="3"/>
    </row>
    <row r="14" spans="1:18" ht="23.4" x14ac:dyDescent="0.45">
      <c r="A14" s="11"/>
      <c r="B14" s="11"/>
      <c r="C14" s="11"/>
      <c r="D14" s="11"/>
      <c r="E14" s="11" t="s">
        <v>198</v>
      </c>
      <c r="F14" s="12" t="s">
        <v>197</v>
      </c>
      <c r="G14" s="11"/>
      <c r="H14" s="11"/>
      <c r="I14" s="11"/>
      <c r="J14" s="11"/>
      <c r="K14" s="11"/>
      <c r="L14" s="11"/>
      <c r="M14" s="11"/>
      <c r="N14" s="11"/>
      <c r="O14" s="11"/>
      <c r="P14" s="11"/>
      <c r="Q14" s="11"/>
      <c r="R14" s="11"/>
    </row>
    <row r="17" spans="1:4" ht="18" x14ac:dyDescent="0.35">
      <c r="A17" s="8" t="s">
        <v>199</v>
      </c>
      <c r="D17" s="7"/>
    </row>
  </sheetData>
  <mergeCells count="1">
    <mergeCell ref="A1:R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C9B19-C681-4D23-A36D-3B2EF33B65EA}">
  <dimension ref="A3:B5"/>
  <sheetViews>
    <sheetView zoomScaleNormal="100" workbookViewId="0">
      <selection activeCell="B5" sqref="B5"/>
    </sheetView>
  </sheetViews>
  <sheetFormatPr defaultRowHeight="14.4" x14ac:dyDescent="0.3"/>
  <cols>
    <col min="1" max="1" width="12.5546875" bestFit="1" customWidth="1"/>
    <col min="2" max="2" width="17.77734375" bestFit="1" customWidth="1"/>
  </cols>
  <sheetData>
    <row r="3" spans="1:2" x14ac:dyDescent="0.3">
      <c r="A3" s="2" t="s">
        <v>175</v>
      </c>
      <c r="B3" t="s">
        <v>174</v>
      </c>
    </row>
    <row r="4" spans="1:2" x14ac:dyDescent="0.3">
      <c r="A4" s="3" t="s">
        <v>34</v>
      </c>
      <c r="B4" s="23">
        <v>43</v>
      </c>
    </row>
    <row r="5" spans="1:2" x14ac:dyDescent="0.3">
      <c r="A5" s="3" t="s">
        <v>12</v>
      </c>
      <c r="B5" s="23">
        <v>57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AF5DF-1E78-440F-B2F6-5AEE71A3C42A}">
  <dimension ref="A3:B6"/>
  <sheetViews>
    <sheetView workbookViewId="0">
      <selection activeCell="B18" sqref="B18"/>
    </sheetView>
  </sheetViews>
  <sheetFormatPr defaultRowHeight="14.4" x14ac:dyDescent="0.3"/>
  <cols>
    <col min="1" max="1" width="14.88671875" bestFit="1" customWidth="1"/>
    <col min="2" max="2" width="17.77734375" bestFit="1" customWidth="1"/>
  </cols>
  <sheetData>
    <row r="3" spans="1:2" x14ac:dyDescent="0.3">
      <c r="A3" s="2" t="s">
        <v>175</v>
      </c>
      <c r="B3" t="s">
        <v>174</v>
      </c>
    </row>
    <row r="4" spans="1:2" x14ac:dyDescent="0.3">
      <c r="A4" s="3" t="s">
        <v>178</v>
      </c>
      <c r="B4" s="23">
        <v>13</v>
      </c>
    </row>
    <row r="5" spans="1:2" x14ac:dyDescent="0.3">
      <c r="A5" s="3" t="s">
        <v>179</v>
      </c>
      <c r="B5" s="23">
        <v>58</v>
      </c>
    </row>
    <row r="6" spans="1:2" x14ac:dyDescent="0.3">
      <c r="A6" s="3" t="s">
        <v>180</v>
      </c>
      <c r="B6" s="23">
        <v>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6E5ED-7A96-4DDB-8EFD-623222EA7D41}">
  <dimension ref="A3:B8"/>
  <sheetViews>
    <sheetView workbookViewId="0">
      <selection activeCell="L24" sqref="L24"/>
    </sheetView>
  </sheetViews>
  <sheetFormatPr defaultRowHeight="14.4" x14ac:dyDescent="0.3"/>
  <cols>
    <col min="1" max="1" width="12.5546875" bestFit="1" customWidth="1"/>
    <col min="2" max="2" width="16.21875" bestFit="1" customWidth="1"/>
    <col min="3" max="3" width="24.33203125" bestFit="1" customWidth="1"/>
  </cols>
  <sheetData>
    <row r="3" spans="1:2" x14ac:dyDescent="0.3">
      <c r="A3" s="2" t="s">
        <v>175</v>
      </c>
      <c r="B3" t="s">
        <v>181</v>
      </c>
    </row>
    <row r="4" spans="1:2" x14ac:dyDescent="0.3">
      <c r="A4" s="3" t="s">
        <v>27</v>
      </c>
      <c r="B4" s="23">
        <v>82</v>
      </c>
    </row>
    <row r="5" spans="1:2" x14ac:dyDescent="0.3">
      <c r="A5" s="3" t="s">
        <v>20</v>
      </c>
      <c r="B5" s="23">
        <v>132</v>
      </c>
    </row>
    <row r="6" spans="1:2" x14ac:dyDescent="0.3">
      <c r="A6" s="3" t="s">
        <v>51</v>
      </c>
      <c r="B6" s="23">
        <v>107</v>
      </c>
    </row>
    <row r="7" spans="1:2" x14ac:dyDescent="0.3">
      <c r="A7" s="3" t="s">
        <v>46</v>
      </c>
      <c r="B7" s="23">
        <v>96</v>
      </c>
    </row>
    <row r="8" spans="1:2" x14ac:dyDescent="0.3">
      <c r="A8" s="3" t="s">
        <v>13</v>
      </c>
      <c r="B8" s="23">
        <v>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292F-3E6A-400E-B5D3-74FF14C4C6A4}">
  <dimension ref="A3:B8"/>
  <sheetViews>
    <sheetView topLeftCell="A3" zoomScale="115" zoomScaleNormal="115" workbookViewId="0">
      <selection activeCell="B24" sqref="B24"/>
    </sheetView>
  </sheetViews>
  <sheetFormatPr defaultRowHeight="14.4" x14ac:dyDescent="0.3"/>
  <cols>
    <col min="1" max="1" width="12.5546875" bestFit="1" customWidth="1"/>
    <col min="2" max="2" width="21.109375" bestFit="1" customWidth="1"/>
  </cols>
  <sheetData>
    <row r="3" spans="1:2" x14ac:dyDescent="0.3">
      <c r="A3" s="2" t="s">
        <v>175</v>
      </c>
      <c r="B3" t="s">
        <v>176</v>
      </c>
    </row>
    <row r="4" spans="1:2" x14ac:dyDescent="0.3">
      <c r="A4" s="3" t="s">
        <v>27</v>
      </c>
      <c r="B4" s="4">
        <v>0.16973431764266031</v>
      </c>
    </row>
    <row r="5" spans="1:2" x14ac:dyDescent="0.3">
      <c r="A5" s="3" t="s">
        <v>20</v>
      </c>
      <c r="B5" s="4">
        <v>0.28442687731258809</v>
      </c>
    </row>
    <row r="6" spans="1:2" x14ac:dyDescent="0.3">
      <c r="A6" s="3" t="s">
        <v>51</v>
      </c>
      <c r="B6" s="4">
        <v>0.18460423394044384</v>
      </c>
    </row>
    <row r="7" spans="1:2" x14ac:dyDescent="0.3">
      <c r="A7" s="3" t="s">
        <v>46</v>
      </c>
      <c r="B7" s="4">
        <v>0.20391704685913786</v>
      </c>
    </row>
    <row r="8" spans="1:2" x14ac:dyDescent="0.3">
      <c r="A8" s="3" t="s">
        <v>13</v>
      </c>
      <c r="B8" s="4">
        <v>0.15731752424516993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FB045-A128-487D-9573-A27612896E95}">
  <dimension ref="A3:B13"/>
  <sheetViews>
    <sheetView workbookViewId="0">
      <selection activeCell="N21" sqref="N21"/>
    </sheetView>
  </sheetViews>
  <sheetFormatPr defaultRowHeight="14.4" x14ac:dyDescent="0.3"/>
  <cols>
    <col min="1" max="1" width="12.5546875" bestFit="1" customWidth="1"/>
    <col min="2" max="2" width="21.109375" bestFit="1" customWidth="1"/>
    <col min="3" max="3" width="17.77734375" bestFit="1" customWidth="1"/>
  </cols>
  <sheetData>
    <row r="3" spans="1:2" x14ac:dyDescent="0.3">
      <c r="A3" s="2" t="s">
        <v>175</v>
      </c>
      <c r="B3" t="s">
        <v>176</v>
      </c>
    </row>
    <row r="4" spans="1:2" x14ac:dyDescent="0.3">
      <c r="A4" s="3" t="s">
        <v>43</v>
      </c>
      <c r="B4" s="4">
        <v>0.10953617849022011</v>
      </c>
    </row>
    <row r="5" spans="1:2" x14ac:dyDescent="0.3">
      <c r="A5" s="3" t="s">
        <v>59</v>
      </c>
      <c r="B5" s="4">
        <v>0.18501702384136096</v>
      </c>
    </row>
    <row r="6" spans="1:2" x14ac:dyDescent="0.3">
      <c r="A6" s="3" t="s">
        <v>63</v>
      </c>
      <c r="B6" s="4">
        <v>7.9760754823421723E-2</v>
      </c>
    </row>
    <row r="7" spans="1:2" x14ac:dyDescent="0.3">
      <c r="A7" s="3" t="s">
        <v>31</v>
      </c>
      <c r="B7" s="4">
        <v>7.7452490909308627E-2</v>
      </c>
    </row>
    <row r="8" spans="1:2" x14ac:dyDescent="0.3">
      <c r="A8" s="3" t="s">
        <v>21</v>
      </c>
      <c r="B8" s="4">
        <v>0.10099365614102314</v>
      </c>
    </row>
    <row r="9" spans="1:2" x14ac:dyDescent="0.3">
      <c r="A9" s="3" t="s">
        <v>102</v>
      </c>
      <c r="B9" s="4">
        <v>5.1097801602729136E-2</v>
      </c>
    </row>
    <row r="10" spans="1:2" x14ac:dyDescent="0.3">
      <c r="A10" s="3" t="s">
        <v>47</v>
      </c>
      <c r="B10" s="4">
        <v>0.1028956163774809</v>
      </c>
    </row>
    <row r="11" spans="1:2" x14ac:dyDescent="0.3">
      <c r="A11" s="3" t="s">
        <v>14</v>
      </c>
      <c r="B11" s="4">
        <v>6.8842112685988291E-2</v>
      </c>
    </row>
    <row r="12" spans="1:2" x14ac:dyDescent="0.3">
      <c r="A12" s="3" t="s">
        <v>35</v>
      </c>
      <c r="B12" s="4">
        <v>8.5607170370133837E-2</v>
      </c>
    </row>
    <row r="13" spans="1:2" x14ac:dyDescent="0.3">
      <c r="A13" s="3" t="s">
        <v>40</v>
      </c>
      <c r="B13" s="4">
        <v>0.1387971947583333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2931E-F627-4FA2-A7FB-DDDDD6961CF6}">
  <dimension ref="A3:B6"/>
  <sheetViews>
    <sheetView workbookViewId="0">
      <selection activeCell="A3" sqref="A3:B7"/>
    </sheetView>
  </sheetViews>
  <sheetFormatPr defaultRowHeight="14.4" x14ac:dyDescent="0.3"/>
  <cols>
    <col min="1" max="1" width="12.5546875" bestFit="1" customWidth="1"/>
    <col min="2" max="2" width="20.109375" bestFit="1" customWidth="1"/>
    <col min="3" max="3" width="16.21875" bestFit="1" customWidth="1"/>
  </cols>
  <sheetData>
    <row r="3" spans="1:2" x14ac:dyDescent="0.3">
      <c r="A3" s="2" t="s">
        <v>175</v>
      </c>
      <c r="B3" t="s">
        <v>182</v>
      </c>
    </row>
    <row r="4" spans="1:2" x14ac:dyDescent="0.3">
      <c r="A4" s="3" t="s">
        <v>184</v>
      </c>
      <c r="B4" s="23">
        <v>67</v>
      </c>
    </row>
    <row r="5" spans="1:2" x14ac:dyDescent="0.3">
      <c r="A5" s="3" t="s">
        <v>185</v>
      </c>
      <c r="B5" s="23">
        <v>18</v>
      </c>
    </row>
    <row r="6" spans="1:2" x14ac:dyDescent="0.3">
      <c r="A6" s="3" t="s">
        <v>186</v>
      </c>
      <c r="B6" s="23">
        <v>15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E4580-5F1F-4C9B-BDA6-0107243BE8B5}">
  <dimension ref="A3:B8"/>
  <sheetViews>
    <sheetView workbookViewId="0">
      <selection activeCell="A3" sqref="A3:B9"/>
    </sheetView>
  </sheetViews>
  <sheetFormatPr defaultRowHeight="14.4" x14ac:dyDescent="0.3"/>
  <cols>
    <col min="1" max="1" width="12.5546875" bestFit="1" customWidth="1"/>
    <col min="2" max="2" width="21.109375" bestFit="1" customWidth="1"/>
  </cols>
  <sheetData>
    <row r="3" spans="1:2" x14ac:dyDescent="0.3">
      <c r="A3" s="2" t="s">
        <v>175</v>
      </c>
      <c r="B3" t="s">
        <v>176</v>
      </c>
    </row>
    <row r="4" spans="1:2" x14ac:dyDescent="0.3">
      <c r="A4" s="3" t="s">
        <v>38</v>
      </c>
      <c r="B4" s="4">
        <v>0.14443305751916263</v>
      </c>
    </row>
    <row r="5" spans="1:2" x14ac:dyDescent="0.3">
      <c r="A5" s="3" t="s">
        <v>57</v>
      </c>
      <c r="B5" s="4">
        <v>9.8808297842050155E-2</v>
      </c>
    </row>
    <row r="6" spans="1:2" x14ac:dyDescent="0.3">
      <c r="A6" s="3" t="s">
        <v>18</v>
      </c>
      <c r="B6" s="4">
        <v>0.26060946549528802</v>
      </c>
    </row>
    <row r="7" spans="1:2" x14ac:dyDescent="0.3">
      <c r="A7" s="3" t="s">
        <v>25</v>
      </c>
      <c r="B7" s="4">
        <v>0.21219330142776743</v>
      </c>
    </row>
    <row r="8" spans="1:2" x14ac:dyDescent="0.3">
      <c r="A8" s="3" t="s">
        <v>55</v>
      </c>
      <c r="B8" s="4">
        <v>0.28395587771573177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8654-768C-48E6-90AE-63E75BCEA267}">
  <dimension ref="A3:B5"/>
  <sheetViews>
    <sheetView workbookViewId="0">
      <selection activeCell="H28" sqref="H28"/>
    </sheetView>
  </sheetViews>
  <sheetFormatPr defaultRowHeight="14.4" x14ac:dyDescent="0.3"/>
  <cols>
    <col min="1" max="1" width="12.5546875" bestFit="1" customWidth="1"/>
    <col min="2" max="2" width="24.33203125" bestFit="1" customWidth="1"/>
  </cols>
  <sheetData>
    <row r="3" spans="1:2" x14ac:dyDescent="0.3">
      <c r="A3" s="2" t="s">
        <v>175</v>
      </c>
      <c r="B3" t="s">
        <v>183</v>
      </c>
    </row>
    <row r="4" spans="1:2" x14ac:dyDescent="0.3">
      <c r="A4" s="3" t="s">
        <v>17</v>
      </c>
      <c r="B4" s="6">
        <v>55922.551020408166</v>
      </c>
    </row>
    <row r="5" spans="1:2" x14ac:dyDescent="0.3">
      <c r="A5" s="3" t="s">
        <v>24</v>
      </c>
      <c r="B5" s="6">
        <v>64167.431372549021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26098-9B32-4878-A970-E9572525C384}">
  <dimension ref="A3:B8"/>
  <sheetViews>
    <sheetView workbookViewId="0">
      <selection activeCell="C20" sqref="C20"/>
    </sheetView>
  </sheetViews>
  <sheetFormatPr defaultRowHeight="14.4" x14ac:dyDescent="0.3"/>
  <cols>
    <col min="1" max="1" width="12.5546875" bestFit="1" customWidth="1"/>
    <col min="2" max="2" width="17.77734375" bestFit="1" customWidth="1"/>
  </cols>
  <sheetData>
    <row r="3" spans="1:2" x14ac:dyDescent="0.3">
      <c r="A3" s="2" t="s">
        <v>175</v>
      </c>
      <c r="B3" t="s">
        <v>174</v>
      </c>
    </row>
    <row r="4" spans="1:2" x14ac:dyDescent="0.3">
      <c r="A4" s="3" t="s">
        <v>27</v>
      </c>
      <c r="B4" s="23">
        <v>18</v>
      </c>
    </row>
    <row r="5" spans="1:2" x14ac:dyDescent="0.3">
      <c r="A5" s="3" t="s">
        <v>20</v>
      </c>
      <c r="B5" s="23">
        <v>25</v>
      </c>
    </row>
    <row r="6" spans="1:2" x14ac:dyDescent="0.3">
      <c r="A6" s="3" t="s">
        <v>51</v>
      </c>
      <c r="B6" s="23">
        <v>20</v>
      </c>
    </row>
    <row r="7" spans="1:2" x14ac:dyDescent="0.3">
      <c r="A7" s="3" t="s">
        <v>46</v>
      </c>
      <c r="B7" s="23">
        <v>19</v>
      </c>
    </row>
    <row r="8" spans="1:2" x14ac:dyDescent="0.3">
      <c r="A8" s="3" t="s">
        <v>13</v>
      </c>
      <c r="B8" s="23">
        <v>18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 Healthcare dataSHEET</vt:lpstr>
      <vt:lpstr>objectives</vt:lpstr>
      <vt:lpstr>HEATHCARE DATA 2026</vt:lpstr>
      <vt:lpstr>INSIGHT OF DATA</vt:lpstr>
      <vt:lpstr>MALE VS FEMALE</vt:lpstr>
      <vt:lpstr>AVG STAYS</vt:lpstr>
      <vt:lpstr>Avg stay VS revenue</vt:lpstr>
      <vt:lpstr>revenue vs patient</vt:lpstr>
      <vt:lpstr>disease vs cost </vt:lpstr>
      <vt:lpstr>high risk patient</vt:lpstr>
      <vt:lpstr>city vs revenue </vt:lpstr>
      <vt:lpstr>INSURANCE IMPACT ANALYSIS</vt:lpstr>
      <vt:lpstr>depart Vs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sohail khan</cp:lastModifiedBy>
  <dcterms:created xsi:type="dcterms:W3CDTF">2026-04-25T14:12:54Z</dcterms:created>
  <dcterms:modified xsi:type="dcterms:W3CDTF">2026-05-06T08:13:13Z</dcterms:modified>
</cp:coreProperties>
</file>